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ukhi bajwa\OneDrive\Desktop\Excel Project\"/>
    </mc:Choice>
  </mc:AlternateContent>
  <xr:revisionPtr revIDLastSave="0" documentId="8_{ACDB097F-7A76-48C9-8CAB-E8DF45D6C504}" xr6:coauthVersionLast="47" xr6:coauthVersionMax="47" xr10:uidLastSave="{00000000-0000-0000-0000-000000000000}"/>
  <bookViews>
    <workbookView xWindow="-110" yWindow="-110" windowWidth="19420" windowHeight="10300" activeTab="1" xr2:uid="{33CB77B4-9549-4ECD-AFFB-6CC4F7C98841}"/>
  </bookViews>
  <sheets>
    <sheet name="Pivot Report" sheetId="1" r:id="rId1"/>
    <sheet name="Dashboard" sheetId="3" r:id="rId2"/>
    <sheet name="Patient Satisfaction Score" sheetId="6" r:id="rId3"/>
    <sheet name="count of patient chart" sheetId="4" r:id="rId4"/>
    <sheet name="Average wait time" sheetId="5" r:id="rId5"/>
  </sheets>
  <definedNames>
    <definedName name="_xlnm.Print_Area" localSheetId="1">Dashboard!$A$1:$X$44</definedName>
    <definedName name="Slicer_Date__Month">#N/A</definedName>
    <definedName name="Slicer_Date__Year">#N/A</definedName>
  </definedNames>
  <calcPr calcId="191029"/>
  <pivotCaches>
    <pivotCache cacheId="2448" r:id="rId6"/>
    <pivotCache cacheId="2451" r:id="rId7"/>
    <pivotCache cacheId="2454" r:id="rId8"/>
    <pivotCache cacheId="2457" r:id="rId9"/>
    <pivotCache cacheId="2460" r:id="rId10"/>
    <pivotCache cacheId="2463" r:id="rId11"/>
    <pivotCache cacheId="2466" r:id="rId12"/>
    <pivotCache cacheId="2469" r:id="rId13"/>
    <pivotCache cacheId="2472" r:id="rId14"/>
    <pivotCache cacheId="2475" r:id="rId15"/>
    <pivotCache cacheId="2478" r:id="rId16"/>
    <pivotCache cacheId="2481" r:id="rId17"/>
  </pivotCaches>
  <extLst>
    <ext xmlns:x14="http://schemas.microsoft.com/office/spreadsheetml/2009/9/main" uri="{876F7934-8845-4945-9796-88D515C7AA90}">
      <x14:pivotCaches>
        <pivotCache cacheId="965" r:id="rId18"/>
        <pivotCache cacheId="186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4f1aeb2-1b27-4564-86ac-1933c659513f" name="Hospital Emergency Room Data" connection="Query - Hospital Emergency Room Data"/>
          <x15:modelTable id="Calendar_Table_fdf7788e-e4ec-46e5-b8f6-f69be9ba4e3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B56" i="1" l="1"/>
  <c r="C56" i="1"/>
  <c r="D56" i="1"/>
  <c r="C55" i="1"/>
  <c r="D55" i="1"/>
  <c r="B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9E3A80-81B7-4EA8-9F28-67BF619C2B07}" name="Query - Calendar_Table" description="Connection to the 'Calendar_Table' query in the workbook." type="100" refreshedVersion="8" minRefreshableVersion="5">
    <extLst>
      <ext xmlns:x15="http://schemas.microsoft.com/office/spreadsheetml/2010/11/main" uri="{DE250136-89BD-433C-8126-D09CA5730AF9}">
        <x15:connection id="68dea919-37ad-4d24-9a0f-26f486cc82ef"/>
      </ext>
    </extLst>
  </connection>
  <connection id="2" xr16:uid="{8E23B83F-35D5-49CB-A26D-ACE00A3E822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8cdbcd8-8ad9-4cc5-9bee-aff853bdcf9e"/>
      </ext>
    </extLst>
  </connection>
  <connection id="3" xr16:uid="{A6B4343D-879C-44A8-ABC4-A202F369AF7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<sst xmlns="http://schemas.openxmlformats.org/spreadsheetml/2006/main" count="182" uniqueCount="75">
  <si>
    <t>Row Labels</t>
  </si>
  <si>
    <t>Grand Total</t>
  </si>
  <si>
    <t>Count of Patient Id</t>
  </si>
  <si>
    <t>Average of Patient Waittime</t>
  </si>
  <si>
    <t>Average of Patient Satisfaction Score2</t>
  </si>
  <si>
    <t>Distinct Count of Patient Id</t>
  </si>
  <si>
    <t>2023</t>
  </si>
  <si>
    <t>Qtr2</t>
  </si>
  <si>
    <t>Jun</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</si>
  <si>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</si>
  <si>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</si>
  <si>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</si>
  <si>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</si>
  <si>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</si>
  <si>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</si>
  <si>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</si>
  <si>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</si>
  <si>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</si>
  <si>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</si>
  <si>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</si>
  <si>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</si>
  <si>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</si>
  <si>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</si>
  <si>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</si>
  <si>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</si>
  <si>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</si>
  <si>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</si>
  <si>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</si>
  <si>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</si>
  <si>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</si>
  <si>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</si>
  <si>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</si>
  <si>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</si>
  <si>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</si>
  <si>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</si>
  <si>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</si>
  <si>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</si>
  <si>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</si>
  <si>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</si>
  <si>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Count of Patient per month</t>
  </si>
  <si>
    <t>Average wait Time</t>
  </si>
  <si>
    <t>Customer Satisfaction Score</t>
  </si>
  <si>
    <t>Average of Patient Satisfaction Score</t>
  </si>
  <si>
    <t>Admitted</t>
  </si>
  <si>
    <t>Not Admitted</t>
  </si>
  <si>
    <t>Count of Patient Admission Flag</t>
  </si>
  <si>
    <t>Count of Patient Admission Flag2</t>
  </si>
  <si>
    <t>Male</t>
  </si>
  <si>
    <t>None</t>
  </si>
  <si>
    <t>20-29</t>
  </si>
  <si>
    <t>OnTime</t>
  </si>
  <si>
    <t>10-19</t>
  </si>
  <si>
    <t>Delay</t>
  </si>
  <si>
    <t>40-49</t>
  </si>
  <si>
    <t>30-39</t>
  </si>
  <si>
    <t>60-69</t>
  </si>
  <si>
    <t>0-09</t>
  </si>
  <si>
    <t>50-59</t>
  </si>
  <si>
    <t>70-79</t>
  </si>
  <si>
    <t>Female</t>
  </si>
  <si>
    <t>General Practice</t>
  </si>
  <si>
    <t>Orthopedics</t>
  </si>
  <si>
    <t>Physiotherapy</t>
  </si>
  <si>
    <t>Cardiology</t>
  </si>
  <si>
    <t>Neurology</t>
  </si>
  <si>
    <t>Renal</t>
  </si>
  <si>
    <t>Gastroenterology</t>
  </si>
  <si>
    <t>Admission Status</t>
  </si>
  <si>
    <t>No. of Patient</t>
  </si>
  <si>
    <t>% of Total</t>
  </si>
  <si>
    <t>Status</t>
  </si>
  <si>
    <t>Count of Age Group</t>
  </si>
  <si>
    <t>Count of Patient Attend Status</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</si>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</sst>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0" borderId="0" xfId="0" applyAlignment="1">
      <alignment horizontal="left" indent="1"/>
    </xf>
    <xf numFmtId="0" fontId="0" fillId="0" borderId="0" xfId="0" applyAlignment="1">
      <alignment horizontal="left" indent="2"/>
    </xf>
    <xf numFmtId="1" fontId="0" fillId="0" borderId="0" xfId="0" applyNumberFormat="1"/>
    <xf numFmtId="10" fontId="0" fillId="0" borderId="0" xfId="0" applyNumberFormat="1"/>
    <xf numFmtId="0" fontId="0" fillId="4" borderId="0" xfId="0" applyFill="1" applyAlignment="1">
      <alignment horizontal="center"/>
    </xf>
    <xf numFmtId="10" fontId="0" fillId="4" borderId="0" xfId="1" applyNumberFormat="1" applyFont="1" applyFill="1" applyAlignment="1">
      <alignment horizontal="center"/>
    </xf>
    <xf numFmtId="0" fontId="2" fillId="3" borderId="0" xfId="0" applyFont="1" applyFill="1" applyAlignment="1">
      <alignment horizontal="center"/>
    </xf>
    <xf numFmtId="0" fontId="0" fillId="0" borderId="0" xfId="0" applyAlignment="1">
      <alignment horizontal="left" indent="3"/>
    </xf>
    <xf numFmtId="0" fontId="0" fillId="2" borderId="0" xfId="0" applyFont="1" applyFill="1"/>
  </cellXfs>
  <cellStyles count="2">
    <cellStyle name="Normal" xfId="0" builtinId="0"/>
    <cellStyle name="Percent" xfId="1" builtinId="5"/>
  </cellStyles>
  <dxfs count="287">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3"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1" formatCode="0"/>
    </dxf>
    <dxf>
      <numFmt numFmtId="13" formatCode="0%"/>
    </dxf>
    <dxf>
      <numFmt numFmtId="2" formatCode="0.00"/>
    </dxf>
    <dxf>
      <numFmt numFmtId="2" formatCode="0.00"/>
    </dxf>
    <dxf>
      <numFmt numFmtId="2" formatCode="0.00"/>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numFmt numFmtId="2" formatCode="0.00"/>
    </dxf>
    <dxf>
      <numFmt numFmtId="2" formatCode="0.00"/>
    </dxf>
  </dxfs>
  <tableStyles count="2" defaultTableStyle="TableStyleMedium2" defaultPivotStyle="PivotStyleLight16">
    <tableStyle name="MY style" pivot="0" table="0" count="10" xr9:uid="{C1580D27-4D32-4FF1-B2FE-F94993890F3F}">
      <tableStyleElement type="wholeTable" dxfId="284"/>
      <tableStyleElement type="headerRow" dxfId="283"/>
    </tableStyle>
    <tableStyle name="style2" pivot="0" table="0" count="10" xr9:uid="{E92B1B18-8BFF-4430-B8A1-6DD8CE8543D0}">
      <tableStyleElement type="wholeTable" dxfId="282"/>
      <tableStyleElement type="headerRow" dxfId="28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F0C1A2-4D80-4491-A4F7-4A40BDF9FEB1}"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519A12-AD81-478F-85E8-0540658D7251}" type="CELLRANGE">
                  <a:rPr lang="en-US"/>
                  <a:pPr>
                    <a:defRPr/>
                  </a:pPr>
                  <a:t>[CELLRANGE]</a:t>
                </a:fld>
                <a:r>
                  <a:rPr lang="en-US" baseline="0"/>
                  <a:t> </a:t>
                </a:r>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s>
    <c:plotArea>
      <c:layout>
        <c:manualLayout>
          <c:layoutTarget val="inner"/>
          <c:xMode val="edge"/>
          <c:yMode val="edge"/>
          <c:x val="7.4774954511714536E-2"/>
          <c:y val="0.24486510254791552"/>
          <c:w val="0.46937309649902287"/>
          <c:h val="0.42958933489117912"/>
        </c:manualLayout>
      </c:layout>
      <c:barChart>
        <c:barDir val="bar"/>
        <c:grouping val="clustered"/>
        <c:varyColors val="0"/>
        <c:ser>
          <c:idx val="0"/>
          <c:order val="0"/>
          <c:tx>
            <c:strRef>
              <c:f>'Pivot Report'!$D$46:$D$47</c:f>
              <c:strCache>
                <c:ptCount val="1"/>
                <c:pt idx="0">
                  <c:v>Count of Patient Admission Flag</c:v>
                </c:pt>
              </c:strCache>
            </c:strRef>
          </c:tx>
          <c:spPr>
            <a:solidFill>
              <a:schemeClr val="accent1"/>
            </a:solidFill>
            <a:ln>
              <a:noFill/>
            </a:ln>
            <a:effectLst/>
          </c:spPr>
          <c:invertIfNegative val="0"/>
          <c:dLbls>
            <c:dLbl>
              <c:idx val="0"/>
              <c:tx>
                <c:rich>
                  <a:bodyPr/>
                  <a:lstStyle/>
                  <a:p>
                    <a:fld id="{82519A12-AD81-478F-85E8-0540658D7251}" type="CELLRANGE">
                      <a:rPr lang="en-US"/>
                      <a:pPr/>
                      <a:t>[CELLRANGE]</a:t>
                    </a:fld>
                    <a:r>
                      <a:rPr lang="en-US" baseline="0"/>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dLbl>
              <c:idx val="1"/>
              <c:tx>
                <c:rich>
                  <a:bodyPr/>
                  <a:lstStyle/>
                  <a:p>
                    <a:fld id="{BFF0C1A2-4D80-4491-A4F7-4A40BDF9FEB1}" type="CELLRANGE">
                      <a:rPr lang="en-US"/>
                      <a:pPr/>
                      <a:t>[CELLRANGE]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Report'!$D$46:$D$47</c:f>
              <c:strCache>
                <c:ptCount val="2"/>
                <c:pt idx="0">
                  <c:v>Admitted</c:v>
                </c:pt>
                <c:pt idx="1">
                  <c:v>Not Admitted</c:v>
                </c:pt>
              </c:strCache>
            </c:strRef>
          </c:cat>
          <c:val>
            <c:numRef>
              <c:f>'Pivot Report'!$D$46:$D$47</c:f>
              <c:numCache>
                <c:formatCode>0</c:formatCode>
                <c:ptCount val="2"/>
                <c:pt idx="0">
                  <c:v>252</c:v>
                </c:pt>
                <c:pt idx="1">
                  <c:v>254</c:v>
                </c:pt>
              </c:numCache>
            </c:numRef>
          </c:val>
          <c:extLst>
            <c:ext xmlns:c16="http://schemas.microsoft.com/office/drawing/2014/chart" uri="{C3380CC4-5D6E-409C-BE32-E72D297353CC}">
              <c16:uniqueId val="{0000000A-939B-44EA-9563-5B7DB6D59E55}"/>
            </c:ext>
          </c:extLst>
        </c:ser>
        <c:ser>
          <c:idx val="1"/>
          <c:order val="1"/>
          <c:tx>
            <c:strRef>
              <c:f>'Pivot Report'!$D$46:$D$47</c:f>
              <c:strCache>
                <c:ptCount val="1"/>
                <c:pt idx="0">
                  <c:v>Count of Patient Admission Flag2</c:v>
                </c:pt>
              </c:strCache>
            </c:strRef>
          </c:tx>
          <c:spPr>
            <a:solidFill>
              <a:schemeClr val="bg1">
                <a:lumMod val="95000"/>
              </a:schemeClr>
            </a:solidFill>
            <a:ln>
              <a:noFill/>
            </a:ln>
            <a:effectLst/>
          </c:spPr>
          <c:invertIfNegative val="0"/>
          <c:cat>
            <c:strRef>
              <c:f>'Pivot Report'!$D$46:$D$47</c:f>
              <c:strCache>
                <c:ptCount val="2"/>
                <c:pt idx="0">
                  <c:v>Admitted</c:v>
                </c:pt>
                <c:pt idx="1">
                  <c:v>Not Admitted</c:v>
                </c:pt>
              </c:strCache>
            </c:strRef>
          </c:cat>
          <c:val>
            <c:numRef>
              <c:f>'Pivot Report'!$D$46:$D$47</c:f>
              <c:numCache>
                <c:formatCode>0.00%</c:formatCode>
                <c:ptCount val="2"/>
                <c:pt idx="0">
                  <c:v>0.49802371541501977</c:v>
                </c:pt>
                <c:pt idx="1">
                  <c:v>0.50197628458498023</c:v>
                </c:pt>
              </c:numCache>
            </c:numRef>
          </c:val>
          <c:extLst>
            <c:ext xmlns:c16="http://schemas.microsoft.com/office/drawing/2014/chart" uri="{C3380CC4-5D6E-409C-BE32-E72D297353CC}">
              <c16:uniqueId val="{0000000B-939B-44EA-9563-5B7DB6D59E55}"/>
            </c:ext>
          </c:extLst>
        </c:ser>
        <c:dLbls>
          <c:showLegendKey val="0"/>
          <c:showVal val="0"/>
          <c:showCatName val="0"/>
          <c:showSerName val="0"/>
          <c:showPercent val="0"/>
          <c:showBubbleSize val="0"/>
        </c:dLbls>
        <c:gapWidth val="0"/>
        <c:overlap val="-100"/>
        <c:axId val="155285215"/>
        <c:axId val="155284735"/>
      </c:barChart>
      <c:catAx>
        <c:axId val="155285215"/>
        <c:scaling>
          <c:orientation val="minMax"/>
        </c:scaling>
        <c:delete val="1"/>
        <c:axPos val="l"/>
        <c:numFmt formatCode="General" sourceLinked="1"/>
        <c:majorTickMark val="out"/>
        <c:minorTickMark val="none"/>
        <c:tickLblPos val="nextTo"/>
        <c:crossAx val="155284735"/>
        <c:crosses val="autoZero"/>
        <c:auto val="1"/>
        <c:lblAlgn val="ctr"/>
        <c:lblOffset val="100"/>
        <c:noMultiLvlLbl val="0"/>
      </c:catAx>
      <c:valAx>
        <c:axId val="155284735"/>
        <c:scaling>
          <c:orientation val="minMax"/>
        </c:scaling>
        <c:delete val="1"/>
        <c:axPos val="b"/>
        <c:numFmt formatCode="0" sourceLinked="1"/>
        <c:majorTickMark val="out"/>
        <c:minorTickMark val="none"/>
        <c:tickLblPos val="nextTo"/>
        <c:crossAx val="155285215"/>
        <c:crosses val="autoZero"/>
        <c:crossBetween val="between"/>
      </c:valAx>
      <c:spPr>
        <a:noFill/>
        <a:ln>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56084656084651E-2"/>
          <c:y val="9.626619253238506E-4"/>
          <c:w val="0.76719576719576721"/>
          <c:h val="0.98844551689103377"/>
        </c:manualLayout>
      </c:layout>
      <c:areaChart>
        <c:grouping val="standard"/>
        <c:varyColors val="0"/>
        <c:ser>
          <c:idx val="0"/>
          <c:order val="0"/>
          <c:tx>
            <c:strRef>
              <c:f>'Pivot Report'!$E$7</c:f>
              <c:strCache>
                <c:ptCount val="1"/>
                <c:pt idx="0">
                  <c:v>Total</c:v>
                </c:pt>
              </c:strCache>
            </c:strRef>
          </c:tx>
          <c:spPr>
            <a:solidFill>
              <a:schemeClr val="accent1"/>
            </a:solidFill>
            <a:ln w="25400">
              <a:noFill/>
            </a:ln>
            <a:effectLst/>
          </c:spPr>
          <c:cat>
            <c:strRef>
              <c:f>'Pivot Report'!$D$8:$D$38</c:f>
              <c:strCache>
                <c:ptCount val="30"/>
                <c:pt idx="0">
                  <c:v>10-Jun</c:v>
                </c:pt>
                <c:pt idx="1">
                  <c:v>11-Jun</c:v>
                </c:pt>
                <c:pt idx="2">
                  <c:v>12-Jun</c:v>
                </c:pt>
                <c:pt idx="3">
                  <c:v>13-Jun</c:v>
                </c:pt>
                <c:pt idx="4">
                  <c:v>14-Jun</c:v>
                </c:pt>
                <c:pt idx="5">
                  <c:v>15-Jun</c:v>
                </c:pt>
                <c:pt idx="6">
                  <c:v>16-Jun</c:v>
                </c:pt>
                <c:pt idx="7">
                  <c:v>17-Jun</c:v>
                </c:pt>
                <c:pt idx="8">
                  <c:v>18-Jun</c:v>
                </c:pt>
                <c:pt idx="9">
                  <c:v>19-Jun</c:v>
                </c:pt>
                <c:pt idx="10">
                  <c:v>1-Jun</c:v>
                </c:pt>
                <c:pt idx="11">
                  <c:v>20-Jun</c:v>
                </c:pt>
                <c:pt idx="12">
                  <c:v>21-Jun</c:v>
                </c:pt>
                <c:pt idx="13">
                  <c:v>22-Jun</c:v>
                </c:pt>
                <c:pt idx="14">
                  <c:v>23-Jun</c:v>
                </c:pt>
                <c:pt idx="15">
                  <c:v>24-Jun</c:v>
                </c:pt>
                <c:pt idx="16">
                  <c:v>25-Jun</c:v>
                </c:pt>
                <c:pt idx="17">
                  <c:v>26-Jun</c:v>
                </c:pt>
                <c:pt idx="18">
                  <c:v>27-Jun</c:v>
                </c:pt>
                <c:pt idx="19">
                  <c:v>28-Jun</c:v>
                </c:pt>
                <c:pt idx="20">
                  <c:v>29-Jun</c:v>
                </c:pt>
                <c:pt idx="21">
                  <c:v>2-Jun</c:v>
                </c:pt>
                <c:pt idx="22">
                  <c:v>30-Jun</c:v>
                </c:pt>
                <c:pt idx="23">
                  <c:v>3-Jun</c:v>
                </c:pt>
                <c:pt idx="24">
                  <c:v>4-Jun</c:v>
                </c:pt>
                <c:pt idx="25">
                  <c:v>5-Jun</c:v>
                </c:pt>
                <c:pt idx="26">
                  <c:v>6-Jun</c:v>
                </c:pt>
                <c:pt idx="27">
                  <c:v>7-Jun</c:v>
                </c:pt>
                <c:pt idx="28">
                  <c:v>8-Jun</c:v>
                </c:pt>
                <c:pt idx="29">
                  <c:v>9-Jun</c:v>
                </c:pt>
              </c:strCache>
            </c:strRef>
          </c:cat>
          <c:val>
            <c:numRef>
              <c:f>'Pivot Report'!$E$8:$E$38</c:f>
              <c:numCache>
                <c:formatCode>General</c:formatCode>
                <c:ptCount val="30"/>
                <c:pt idx="0">
                  <c:v>14</c:v>
                </c:pt>
                <c:pt idx="1">
                  <c:v>17</c:v>
                </c:pt>
                <c:pt idx="2">
                  <c:v>20</c:v>
                </c:pt>
                <c:pt idx="3">
                  <c:v>13</c:v>
                </c:pt>
                <c:pt idx="4">
                  <c:v>14</c:v>
                </c:pt>
                <c:pt idx="5">
                  <c:v>15</c:v>
                </c:pt>
                <c:pt idx="6">
                  <c:v>13</c:v>
                </c:pt>
                <c:pt idx="7">
                  <c:v>15</c:v>
                </c:pt>
                <c:pt idx="8">
                  <c:v>17</c:v>
                </c:pt>
                <c:pt idx="9">
                  <c:v>10</c:v>
                </c:pt>
                <c:pt idx="10">
                  <c:v>26</c:v>
                </c:pt>
                <c:pt idx="11">
                  <c:v>13</c:v>
                </c:pt>
                <c:pt idx="12">
                  <c:v>17</c:v>
                </c:pt>
                <c:pt idx="13">
                  <c:v>26</c:v>
                </c:pt>
                <c:pt idx="14">
                  <c:v>8</c:v>
                </c:pt>
                <c:pt idx="15">
                  <c:v>17</c:v>
                </c:pt>
                <c:pt idx="16">
                  <c:v>18</c:v>
                </c:pt>
                <c:pt idx="17">
                  <c:v>19</c:v>
                </c:pt>
                <c:pt idx="18">
                  <c:v>20</c:v>
                </c:pt>
                <c:pt idx="19">
                  <c:v>23</c:v>
                </c:pt>
                <c:pt idx="20">
                  <c:v>16</c:v>
                </c:pt>
                <c:pt idx="21">
                  <c:v>17</c:v>
                </c:pt>
                <c:pt idx="22">
                  <c:v>12</c:v>
                </c:pt>
                <c:pt idx="23">
                  <c:v>19</c:v>
                </c:pt>
                <c:pt idx="24">
                  <c:v>17</c:v>
                </c:pt>
                <c:pt idx="25">
                  <c:v>18</c:v>
                </c:pt>
                <c:pt idx="26">
                  <c:v>17</c:v>
                </c:pt>
                <c:pt idx="27">
                  <c:v>17</c:v>
                </c:pt>
                <c:pt idx="28">
                  <c:v>19</c:v>
                </c:pt>
                <c:pt idx="29">
                  <c:v>19</c:v>
                </c:pt>
              </c:numCache>
            </c:numRef>
          </c:val>
          <c:extLst>
            <c:ext xmlns:c16="http://schemas.microsoft.com/office/drawing/2014/chart" uri="{C3380CC4-5D6E-409C-BE32-E72D297353CC}">
              <c16:uniqueId val="{00000004-A9BC-476B-B513-6F1594A567A2}"/>
            </c:ext>
          </c:extLst>
        </c:ser>
        <c:dLbls>
          <c:showLegendKey val="0"/>
          <c:showVal val="0"/>
          <c:showCatName val="0"/>
          <c:showSerName val="0"/>
          <c:showPercent val="0"/>
          <c:showBubbleSize val="0"/>
        </c:dLbls>
        <c:axId val="1441705951"/>
        <c:axId val="1913838223"/>
      </c:areaChart>
      <c:catAx>
        <c:axId val="1441705951"/>
        <c:scaling>
          <c:orientation val="minMax"/>
        </c:scaling>
        <c:delete val="1"/>
        <c:axPos val="b"/>
        <c:numFmt formatCode="General" sourceLinked="1"/>
        <c:majorTickMark val="out"/>
        <c:minorTickMark val="none"/>
        <c:tickLblPos val="nextTo"/>
        <c:crossAx val="1913838223"/>
        <c:crosses val="autoZero"/>
        <c:auto val="1"/>
        <c:lblAlgn val="ctr"/>
        <c:lblOffset val="100"/>
        <c:noMultiLvlLbl val="0"/>
      </c:catAx>
      <c:valAx>
        <c:axId val="1913838223"/>
        <c:scaling>
          <c:orientation val="minMax"/>
        </c:scaling>
        <c:delete val="1"/>
        <c:axPos val="l"/>
        <c:numFmt formatCode="General" sourceLinked="1"/>
        <c:majorTickMark val="none"/>
        <c:minorTickMark val="none"/>
        <c:tickLblPos val="nextTo"/>
        <c:crossAx val="1441705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7954255582286481"/>
          <c:w val="0.92452830188679247"/>
          <c:h val="0.3324222404317973"/>
        </c:manualLayout>
      </c:layout>
      <c:areaChart>
        <c:grouping val="standard"/>
        <c:varyColors val="0"/>
        <c:ser>
          <c:idx val="0"/>
          <c:order val="0"/>
          <c:tx>
            <c:strRef>
              <c:f>'Pivot Report'!$I$7</c:f>
              <c:strCache>
                <c:ptCount val="1"/>
                <c:pt idx="0">
                  <c:v>Total</c:v>
                </c:pt>
              </c:strCache>
            </c:strRef>
          </c:tx>
          <c:spPr>
            <a:solidFill>
              <a:schemeClr val="accent1"/>
            </a:solidFill>
            <a:ln w="25400">
              <a:noFill/>
            </a:ln>
            <a:effectLst/>
          </c:spPr>
          <c:cat>
            <c:strRef>
              <c:f>'Pivot Report'!$H$8:$H$38</c:f>
              <c:strCache>
                <c:ptCount val="30"/>
                <c:pt idx="0">
                  <c:v>10-Jun</c:v>
                </c:pt>
                <c:pt idx="1">
                  <c:v>11-Jun</c:v>
                </c:pt>
                <c:pt idx="2">
                  <c:v>12-Jun</c:v>
                </c:pt>
                <c:pt idx="3">
                  <c:v>13-Jun</c:v>
                </c:pt>
                <c:pt idx="4">
                  <c:v>14-Jun</c:v>
                </c:pt>
                <c:pt idx="5">
                  <c:v>15-Jun</c:v>
                </c:pt>
                <c:pt idx="6">
                  <c:v>16-Jun</c:v>
                </c:pt>
                <c:pt idx="7">
                  <c:v>17-Jun</c:v>
                </c:pt>
                <c:pt idx="8">
                  <c:v>18-Jun</c:v>
                </c:pt>
                <c:pt idx="9">
                  <c:v>19-Jun</c:v>
                </c:pt>
                <c:pt idx="10">
                  <c:v>1-Jun</c:v>
                </c:pt>
                <c:pt idx="11">
                  <c:v>20-Jun</c:v>
                </c:pt>
                <c:pt idx="12">
                  <c:v>21-Jun</c:v>
                </c:pt>
                <c:pt idx="13">
                  <c:v>22-Jun</c:v>
                </c:pt>
                <c:pt idx="14">
                  <c:v>23-Jun</c:v>
                </c:pt>
                <c:pt idx="15">
                  <c:v>24-Jun</c:v>
                </c:pt>
                <c:pt idx="16">
                  <c:v>25-Jun</c:v>
                </c:pt>
                <c:pt idx="17">
                  <c:v>26-Jun</c:v>
                </c:pt>
                <c:pt idx="18">
                  <c:v>27-Jun</c:v>
                </c:pt>
                <c:pt idx="19">
                  <c:v>28-Jun</c:v>
                </c:pt>
                <c:pt idx="20">
                  <c:v>29-Jun</c:v>
                </c:pt>
                <c:pt idx="21">
                  <c:v>2-Jun</c:v>
                </c:pt>
                <c:pt idx="22">
                  <c:v>30-Jun</c:v>
                </c:pt>
                <c:pt idx="23">
                  <c:v>3-Jun</c:v>
                </c:pt>
                <c:pt idx="24">
                  <c:v>4-Jun</c:v>
                </c:pt>
                <c:pt idx="25">
                  <c:v>5-Jun</c:v>
                </c:pt>
                <c:pt idx="26">
                  <c:v>6-Jun</c:v>
                </c:pt>
                <c:pt idx="27">
                  <c:v>7-Jun</c:v>
                </c:pt>
                <c:pt idx="28">
                  <c:v>8-Jun</c:v>
                </c:pt>
                <c:pt idx="29">
                  <c:v>9-Jun</c:v>
                </c:pt>
              </c:strCache>
            </c:strRef>
          </c:cat>
          <c:val>
            <c:numRef>
              <c:f>'Pivot Report'!$I$8:$I$38</c:f>
              <c:numCache>
                <c:formatCode>0.00</c:formatCode>
                <c:ptCount val="30"/>
                <c:pt idx="0">
                  <c:v>31.428571428571427</c:v>
                </c:pt>
                <c:pt idx="1">
                  <c:v>45.470588235294116</c:v>
                </c:pt>
                <c:pt idx="2">
                  <c:v>32.549999999999997</c:v>
                </c:pt>
                <c:pt idx="3">
                  <c:v>39.615384615384613</c:v>
                </c:pt>
                <c:pt idx="4">
                  <c:v>36</c:v>
                </c:pt>
                <c:pt idx="5">
                  <c:v>31.6</c:v>
                </c:pt>
                <c:pt idx="6">
                  <c:v>33.846153846153847</c:v>
                </c:pt>
                <c:pt idx="7">
                  <c:v>31.8</c:v>
                </c:pt>
                <c:pt idx="8">
                  <c:v>36</c:v>
                </c:pt>
                <c:pt idx="9">
                  <c:v>29.8</c:v>
                </c:pt>
                <c:pt idx="10">
                  <c:v>34.884615384615387</c:v>
                </c:pt>
                <c:pt idx="11">
                  <c:v>41.307692307692307</c:v>
                </c:pt>
                <c:pt idx="12">
                  <c:v>29.764705882352942</c:v>
                </c:pt>
                <c:pt idx="13">
                  <c:v>37.92307692307692</c:v>
                </c:pt>
                <c:pt idx="14">
                  <c:v>38.625</c:v>
                </c:pt>
                <c:pt idx="15">
                  <c:v>41.470588235294116</c:v>
                </c:pt>
                <c:pt idx="16">
                  <c:v>39.5</c:v>
                </c:pt>
                <c:pt idx="17">
                  <c:v>29.736842105263158</c:v>
                </c:pt>
                <c:pt idx="18">
                  <c:v>37.75</c:v>
                </c:pt>
                <c:pt idx="19">
                  <c:v>37.782608695652172</c:v>
                </c:pt>
                <c:pt idx="20">
                  <c:v>34.1875</c:v>
                </c:pt>
                <c:pt idx="21">
                  <c:v>34.941176470588232</c:v>
                </c:pt>
                <c:pt idx="22">
                  <c:v>36.166666666666664</c:v>
                </c:pt>
                <c:pt idx="23">
                  <c:v>32.736842105263158</c:v>
                </c:pt>
                <c:pt idx="24">
                  <c:v>34.411764705882355</c:v>
                </c:pt>
                <c:pt idx="25">
                  <c:v>34.388888888888886</c:v>
                </c:pt>
                <c:pt idx="26">
                  <c:v>33.294117647058826</c:v>
                </c:pt>
                <c:pt idx="27">
                  <c:v>35</c:v>
                </c:pt>
                <c:pt idx="28">
                  <c:v>36.736842105263158</c:v>
                </c:pt>
                <c:pt idx="29">
                  <c:v>37.368421052631582</c:v>
                </c:pt>
              </c:numCache>
            </c:numRef>
          </c:val>
          <c:extLst>
            <c:ext xmlns:c16="http://schemas.microsoft.com/office/drawing/2014/chart" uri="{C3380CC4-5D6E-409C-BE32-E72D297353CC}">
              <c16:uniqueId val="{00000004-D6A4-4C49-BD65-FEFD6529E9A7}"/>
            </c:ext>
          </c:extLst>
        </c:ser>
        <c:dLbls>
          <c:showLegendKey val="0"/>
          <c:showVal val="0"/>
          <c:showCatName val="0"/>
          <c:showSerName val="0"/>
          <c:showPercent val="0"/>
          <c:showBubbleSize val="0"/>
        </c:dLbls>
        <c:axId val="254352095"/>
        <c:axId val="254350175"/>
      </c:areaChart>
      <c:catAx>
        <c:axId val="254352095"/>
        <c:scaling>
          <c:orientation val="minMax"/>
        </c:scaling>
        <c:delete val="1"/>
        <c:axPos val="b"/>
        <c:numFmt formatCode="General" sourceLinked="1"/>
        <c:majorTickMark val="out"/>
        <c:minorTickMark val="none"/>
        <c:tickLblPos val="nextTo"/>
        <c:crossAx val="254350175"/>
        <c:crosses val="autoZero"/>
        <c:auto val="1"/>
        <c:lblAlgn val="ctr"/>
        <c:lblOffset val="100"/>
        <c:noMultiLvlLbl val="0"/>
      </c:catAx>
      <c:valAx>
        <c:axId val="254350175"/>
        <c:scaling>
          <c:orientation val="minMax"/>
        </c:scaling>
        <c:delete val="1"/>
        <c:axPos val="l"/>
        <c:numFmt formatCode="0.00" sourceLinked="1"/>
        <c:majorTickMark val="none"/>
        <c:minorTickMark val="none"/>
        <c:tickLblPos val="nextTo"/>
        <c:crossAx val="254352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2209356183418E-2"/>
          <c:y val="1.7140688739208799E-2"/>
          <c:w val="0.88288288288288286"/>
          <c:h val="0.92125225310691594"/>
        </c:manualLayout>
      </c:layout>
      <c:areaChart>
        <c:grouping val="standard"/>
        <c:varyColors val="0"/>
        <c:ser>
          <c:idx val="0"/>
          <c:order val="0"/>
          <c:tx>
            <c:strRef>
              <c:f>'Pivot Report'!$N$7</c:f>
              <c:strCache>
                <c:ptCount val="1"/>
                <c:pt idx="0">
                  <c:v>Total</c:v>
                </c:pt>
              </c:strCache>
            </c:strRef>
          </c:tx>
          <c:spPr>
            <a:solidFill>
              <a:schemeClr val="accent1"/>
            </a:solidFill>
            <a:ln w="25400">
              <a:noFill/>
            </a:ln>
            <a:effectLst/>
          </c:spPr>
          <c:cat>
            <c:strRef>
              <c:f>'Pivot Report'!$M$8:$M$38</c:f>
              <c:strCache>
                <c:ptCount val="30"/>
                <c:pt idx="0">
                  <c:v>10-Jun</c:v>
                </c:pt>
                <c:pt idx="1">
                  <c:v>11-Jun</c:v>
                </c:pt>
                <c:pt idx="2">
                  <c:v>12-Jun</c:v>
                </c:pt>
                <c:pt idx="3">
                  <c:v>13-Jun</c:v>
                </c:pt>
                <c:pt idx="4">
                  <c:v>14-Jun</c:v>
                </c:pt>
                <c:pt idx="5">
                  <c:v>15-Jun</c:v>
                </c:pt>
                <c:pt idx="6">
                  <c:v>16-Jun</c:v>
                </c:pt>
                <c:pt idx="7">
                  <c:v>17-Jun</c:v>
                </c:pt>
                <c:pt idx="8">
                  <c:v>18-Jun</c:v>
                </c:pt>
                <c:pt idx="9">
                  <c:v>19-Jun</c:v>
                </c:pt>
                <c:pt idx="10">
                  <c:v>1-Jun</c:v>
                </c:pt>
                <c:pt idx="11">
                  <c:v>20-Jun</c:v>
                </c:pt>
                <c:pt idx="12">
                  <c:v>21-Jun</c:v>
                </c:pt>
                <c:pt idx="13">
                  <c:v>22-Jun</c:v>
                </c:pt>
                <c:pt idx="14">
                  <c:v>23-Jun</c:v>
                </c:pt>
                <c:pt idx="15">
                  <c:v>24-Jun</c:v>
                </c:pt>
                <c:pt idx="16">
                  <c:v>25-Jun</c:v>
                </c:pt>
                <c:pt idx="17">
                  <c:v>26-Jun</c:v>
                </c:pt>
                <c:pt idx="18">
                  <c:v>27-Jun</c:v>
                </c:pt>
                <c:pt idx="19">
                  <c:v>28-Jun</c:v>
                </c:pt>
                <c:pt idx="20">
                  <c:v>29-Jun</c:v>
                </c:pt>
                <c:pt idx="21">
                  <c:v>2-Jun</c:v>
                </c:pt>
                <c:pt idx="22">
                  <c:v>30-Jun</c:v>
                </c:pt>
                <c:pt idx="23">
                  <c:v>3-Jun</c:v>
                </c:pt>
                <c:pt idx="24">
                  <c:v>4-Jun</c:v>
                </c:pt>
                <c:pt idx="25">
                  <c:v>5-Jun</c:v>
                </c:pt>
                <c:pt idx="26">
                  <c:v>6-Jun</c:v>
                </c:pt>
                <c:pt idx="27">
                  <c:v>7-Jun</c:v>
                </c:pt>
                <c:pt idx="28">
                  <c:v>8-Jun</c:v>
                </c:pt>
                <c:pt idx="29">
                  <c:v>9-Jun</c:v>
                </c:pt>
              </c:strCache>
            </c:strRef>
          </c:cat>
          <c:val>
            <c:numRef>
              <c:f>'Pivot Report'!$N$8:$N$38</c:f>
              <c:numCache>
                <c:formatCode>0.00</c:formatCode>
                <c:ptCount val="30"/>
                <c:pt idx="0">
                  <c:v>5</c:v>
                </c:pt>
                <c:pt idx="1">
                  <c:v>6.166666666666667</c:v>
                </c:pt>
                <c:pt idx="2">
                  <c:v>3</c:v>
                </c:pt>
                <c:pt idx="3">
                  <c:v>4.5</c:v>
                </c:pt>
                <c:pt idx="4">
                  <c:v>4.666666666666667</c:v>
                </c:pt>
                <c:pt idx="5">
                  <c:v>9</c:v>
                </c:pt>
                <c:pt idx="6">
                  <c:v>1.5</c:v>
                </c:pt>
                <c:pt idx="7">
                  <c:v>6.8</c:v>
                </c:pt>
                <c:pt idx="8">
                  <c:v>4.625</c:v>
                </c:pt>
                <c:pt idx="9">
                  <c:v>4.333333333333333</c:v>
                </c:pt>
                <c:pt idx="10">
                  <c:v>4.8</c:v>
                </c:pt>
                <c:pt idx="11">
                  <c:v>1.3333333333333333</c:v>
                </c:pt>
                <c:pt idx="12">
                  <c:v>5</c:v>
                </c:pt>
                <c:pt idx="13">
                  <c:v>3.1666666666666665</c:v>
                </c:pt>
                <c:pt idx="14">
                  <c:v>7.5</c:v>
                </c:pt>
                <c:pt idx="15">
                  <c:v>4.2</c:v>
                </c:pt>
                <c:pt idx="16">
                  <c:v>4.625</c:v>
                </c:pt>
                <c:pt idx="17">
                  <c:v>9.6666666666666661</c:v>
                </c:pt>
                <c:pt idx="18">
                  <c:v>6.125</c:v>
                </c:pt>
                <c:pt idx="19">
                  <c:v>5.5555555555555554</c:v>
                </c:pt>
                <c:pt idx="20">
                  <c:v>6.333333333333333</c:v>
                </c:pt>
                <c:pt idx="21">
                  <c:v>5.333333333333333</c:v>
                </c:pt>
                <c:pt idx="22">
                  <c:v>5.333333333333333</c:v>
                </c:pt>
                <c:pt idx="23">
                  <c:v>6.666666666666667</c:v>
                </c:pt>
                <c:pt idx="24">
                  <c:v>4.5555555555555554</c:v>
                </c:pt>
                <c:pt idx="25">
                  <c:v>4.333333333333333</c:v>
                </c:pt>
                <c:pt idx="26">
                  <c:v>7.333333333333333</c:v>
                </c:pt>
                <c:pt idx="27">
                  <c:v>5.25</c:v>
                </c:pt>
                <c:pt idx="28">
                  <c:v>6.333333333333333</c:v>
                </c:pt>
                <c:pt idx="29">
                  <c:v>5.7142857142857144</c:v>
                </c:pt>
              </c:numCache>
            </c:numRef>
          </c:val>
          <c:extLst>
            <c:ext xmlns:c16="http://schemas.microsoft.com/office/drawing/2014/chart" uri="{C3380CC4-5D6E-409C-BE32-E72D297353CC}">
              <c16:uniqueId val="{00000004-2517-47CA-9F4D-D48CC72290B5}"/>
            </c:ext>
          </c:extLst>
        </c:ser>
        <c:dLbls>
          <c:showLegendKey val="0"/>
          <c:showVal val="0"/>
          <c:showCatName val="0"/>
          <c:showSerName val="0"/>
          <c:showPercent val="0"/>
          <c:showBubbleSize val="0"/>
        </c:dLbls>
        <c:axId val="164474671"/>
        <c:axId val="164475631"/>
      </c:areaChart>
      <c:catAx>
        <c:axId val="164474671"/>
        <c:scaling>
          <c:orientation val="minMax"/>
        </c:scaling>
        <c:delete val="1"/>
        <c:axPos val="b"/>
        <c:numFmt formatCode="General" sourceLinked="1"/>
        <c:majorTickMark val="out"/>
        <c:minorTickMark val="none"/>
        <c:tickLblPos val="nextTo"/>
        <c:crossAx val="164475631"/>
        <c:crosses val="autoZero"/>
        <c:auto val="1"/>
        <c:lblAlgn val="ctr"/>
        <c:lblOffset val="100"/>
        <c:noMultiLvlLbl val="0"/>
      </c:catAx>
      <c:valAx>
        <c:axId val="164475631"/>
        <c:scaling>
          <c:orientation val="minMax"/>
        </c:scaling>
        <c:delete val="1"/>
        <c:axPos val="l"/>
        <c:numFmt formatCode="0.00" sourceLinked="1"/>
        <c:majorTickMark val="none"/>
        <c:minorTickMark val="none"/>
        <c:tickLblPos val="nextTo"/>
        <c:crossAx val="1644746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Report!PivotTable14</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12582461688758E-2"/>
          <c:y val="0.19358010138821322"/>
          <c:w val="0.9396923185842847"/>
          <c:h val="0.54091856552572115"/>
        </c:manualLayout>
      </c:layout>
      <c:barChart>
        <c:barDir val="col"/>
        <c:grouping val="clustered"/>
        <c:varyColors val="0"/>
        <c:ser>
          <c:idx val="0"/>
          <c:order val="0"/>
          <c:tx>
            <c:strRef>
              <c:f>'Pivot Report'!$C$61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Report'!$B$62:$B$70</c:f>
              <c:strCache>
                <c:ptCount val="8"/>
                <c:pt idx="0">
                  <c:v>0-09</c:v>
                </c:pt>
                <c:pt idx="1">
                  <c:v>10-19</c:v>
                </c:pt>
                <c:pt idx="2">
                  <c:v>20-29</c:v>
                </c:pt>
                <c:pt idx="3">
                  <c:v>30-39</c:v>
                </c:pt>
                <c:pt idx="4">
                  <c:v>40-49</c:v>
                </c:pt>
                <c:pt idx="5">
                  <c:v>50-59</c:v>
                </c:pt>
                <c:pt idx="6">
                  <c:v>60-69</c:v>
                </c:pt>
                <c:pt idx="7">
                  <c:v>70-79</c:v>
                </c:pt>
              </c:strCache>
            </c:strRef>
          </c:cat>
          <c:val>
            <c:numRef>
              <c:f>'Pivot Report'!$C$62:$C$70</c:f>
              <c:numCache>
                <c:formatCode>0</c:formatCode>
                <c:ptCount val="8"/>
                <c:pt idx="0">
                  <c:v>46</c:v>
                </c:pt>
                <c:pt idx="1">
                  <c:v>72</c:v>
                </c:pt>
                <c:pt idx="2">
                  <c:v>78</c:v>
                </c:pt>
                <c:pt idx="3">
                  <c:v>63</c:v>
                </c:pt>
                <c:pt idx="4">
                  <c:v>65</c:v>
                </c:pt>
                <c:pt idx="5">
                  <c:v>46</c:v>
                </c:pt>
                <c:pt idx="6">
                  <c:v>72</c:v>
                </c:pt>
                <c:pt idx="7">
                  <c:v>64</c:v>
                </c:pt>
              </c:numCache>
            </c:numRef>
          </c:val>
          <c:extLst>
            <c:ext xmlns:c16="http://schemas.microsoft.com/office/drawing/2014/chart" uri="{C3380CC4-5D6E-409C-BE32-E72D297353CC}">
              <c16:uniqueId val="{00000004-7E57-480F-886C-15C43A0D05FA}"/>
            </c:ext>
          </c:extLst>
        </c:ser>
        <c:dLbls>
          <c:dLblPos val="outEnd"/>
          <c:showLegendKey val="0"/>
          <c:showVal val="1"/>
          <c:showCatName val="0"/>
          <c:showSerName val="0"/>
          <c:showPercent val="0"/>
          <c:showBubbleSize val="0"/>
        </c:dLbls>
        <c:gapWidth val="219"/>
        <c:overlap val="-27"/>
        <c:axId val="219454207"/>
        <c:axId val="219445567"/>
      </c:barChart>
      <c:catAx>
        <c:axId val="21945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45567"/>
        <c:crosses val="autoZero"/>
        <c:auto val="1"/>
        <c:lblAlgn val="ctr"/>
        <c:lblOffset val="100"/>
        <c:noMultiLvlLbl val="0"/>
      </c:catAx>
      <c:valAx>
        <c:axId val="219445567"/>
        <c:scaling>
          <c:orientation val="minMax"/>
        </c:scaling>
        <c:delete val="1"/>
        <c:axPos val="l"/>
        <c:numFmt formatCode="0" sourceLinked="1"/>
        <c:majorTickMark val="out"/>
        <c:minorTickMark val="none"/>
        <c:tickLblPos val="nextTo"/>
        <c:crossAx val="21945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Report!PivotTable15</c:name>
    <c:fmtId val="4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370621F-8AF4-4BD9-ACA1-DEDDE9023145}"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D64F859-DC62-4098-8117-6F7DF67B62CC}"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D64F859-DC62-4098-8117-6F7DF67B62CC}"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370621F-8AF4-4BD9-ACA1-DEDDE9023145}"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D64F859-DC62-4098-8117-6F7DF67B62CC}"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4370621F-8AF4-4BD9-ACA1-DEDDE9023145}"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550578169079581"/>
          <c:y val="0.212566115960549"/>
          <c:w val="0.59029211121861758"/>
          <c:h val="0.69589225191999682"/>
        </c:manualLayout>
      </c:layout>
      <c:pieChart>
        <c:varyColors val="1"/>
        <c:ser>
          <c:idx val="0"/>
          <c:order val="0"/>
          <c:tx>
            <c:strRef>
              <c:f>'Pivot Report'!$F$61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tx>
                <c:rich>
                  <a:bodyPr/>
                  <a:lstStyle/>
                  <a:p>
                    <a:fld id="{4D64F859-DC62-4098-8117-6F7DF67B62CC}" type="PERCENTAGE">
                      <a:rPr lang="en-US" baseline="0"/>
                      <a:pPr/>
                      <a:t>[PERCENTAGE]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4370621F-8AF4-4BD9-ACA1-DEDDE9023145}" type="PERCENTAGE">
                      <a:rPr lang="en-US" baseline="0"/>
                      <a:pPr/>
                      <a:t>[PERCENTAGE]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Report'!$E$62:$E$64</c:f>
              <c:strCache>
                <c:ptCount val="2"/>
                <c:pt idx="0">
                  <c:v>Delay</c:v>
                </c:pt>
                <c:pt idx="1">
                  <c:v>OnTime</c:v>
                </c:pt>
              </c:strCache>
            </c:strRef>
          </c:cat>
          <c:val>
            <c:numRef>
              <c:f>'Pivot Report'!$F$62:$F$64</c:f>
              <c:numCache>
                <c:formatCode>0</c:formatCode>
                <c:ptCount val="2"/>
                <c:pt idx="0">
                  <c:v>311</c:v>
                </c:pt>
                <c:pt idx="1">
                  <c:v>195</c:v>
                </c:pt>
              </c:numCache>
            </c:numRef>
          </c:val>
          <c:extLst>
            <c:ext xmlns:c16="http://schemas.microsoft.com/office/drawing/2014/chart" uri="{C3380CC4-5D6E-409C-BE32-E72D297353CC}">
              <c16:uniqueId val="{00000008-58C1-4DC3-8C1F-2567729C5D3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0627150695972969"/>
          <c:y val="1.8639176198734606E-2"/>
          <c:w val="0.84448418376753798"/>
          <c:h val="0.19723333829753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Report!PivotTable16</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8199267124161558"/>
          <c:y val="0.22817579206965002"/>
          <c:w val="0.6046487527906278"/>
          <c:h val="0.70969353589888462"/>
        </c:manualLayout>
      </c:layout>
      <c:doughnutChart>
        <c:varyColors val="1"/>
        <c:ser>
          <c:idx val="0"/>
          <c:order val="0"/>
          <c:tx>
            <c:strRef>
              <c:f>'Pivot Report'!$G$68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Report'!$F$69:$F$71</c:f>
              <c:strCache>
                <c:ptCount val="2"/>
                <c:pt idx="0">
                  <c:v>Female</c:v>
                </c:pt>
                <c:pt idx="1">
                  <c:v>Male</c:v>
                </c:pt>
              </c:strCache>
            </c:strRef>
          </c:cat>
          <c:val>
            <c:numRef>
              <c:f>'Pivot Report'!$G$69:$G$71</c:f>
              <c:numCache>
                <c:formatCode>0</c:formatCode>
                <c:ptCount val="2"/>
                <c:pt idx="0">
                  <c:v>233</c:v>
                </c:pt>
                <c:pt idx="1">
                  <c:v>273</c:v>
                </c:pt>
              </c:numCache>
            </c:numRef>
          </c:val>
          <c:extLst>
            <c:ext xmlns:c16="http://schemas.microsoft.com/office/drawing/2014/chart" uri="{C3380CC4-5D6E-409C-BE32-E72D297353CC}">
              <c16:uniqueId val="{00000008-01DE-4344-94B3-A4FC82A4DC7A}"/>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0.14969911084343121"/>
          <c:y val="4.9592023288319159E-3"/>
          <c:w val="0.64746187279472844"/>
          <c:h val="0.21041495579923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Report!PivotTable17</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93647285053669"/>
          <c:y val="6.8792036446949145E-2"/>
          <c:w val="0.67114793148974028"/>
          <c:h val="0.80948040269339594"/>
        </c:manualLayout>
      </c:layout>
      <c:barChart>
        <c:barDir val="bar"/>
        <c:grouping val="clustered"/>
        <c:varyColors val="0"/>
        <c:ser>
          <c:idx val="0"/>
          <c:order val="0"/>
          <c:tx>
            <c:strRef>
              <c:f>'Pivot Report'!$C$77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Report'!$B$78:$B$86</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Report'!$C$78:$C$86</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4-F385-47C4-92D0-DC38C2D8509E}"/>
            </c:ext>
          </c:extLst>
        </c:ser>
        <c:dLbls>
          <c:dLblPos val="outEnd"/>
          <c:showLegendKey val="0"/>
          <c:showVal val="1"/>
          <c:showCatName val="0"/>
          <c:showSerName val="0"/>
          <c:showPercent val="0"/>
          <c:showBubbleSize val="0"/>
        </c:dLbls>
        <c:gapWidth val="40"/>
        <c:axId val="207274479"/>
        <c:axId val="207278319"/>
      </c:barChart>
      <c:catAx>
        <c:axId val="20727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78319"/>
        <c:crosses val="autoZero"/>
        <c:auto val="1"/>
        <c:lblAlgn val="ctr"/>
        <c:lblOffset val="100"/>
        <c:noMultiLvlLbl val="0"/>
      </c:catAx>
      <c:valAx>
        <c:axId val="2072783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2209356183418E-2"/>
          <c:y val="1.7140688739208799E-2"/>
          <c:w val="0.88288288288288286"/>
          <c:h val="0.81327085874829008"/>
        </c:manualLayout>
      </c:layout>
      <c:areaChart>
        <c:grouping val="standard"/>
        <c:varyColors val="0"/>
        <c:ser>
          <c:idx val="0"/>
          <c:order val="0"/>
          <c:tx>
            <c:strRef>
              <c:f>'Pivot Report'!$N$7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Report'!$M$8:$M$38</c:f>
              <c:strCache>
                <c:ptCount val="30"/>
                <c:pt idx="0">
                  <c:v>10-Jun</c:v>
                </c:pt>
                <c:pt idx="1">
                  <c:v>11-Jun</c:v>
                </c:pt>
                <c:pt idx="2">
                  <c:v>12-Jun</c:v>
                </c:pt>
                <c:pt idx="3">
                  <c:v>13-Jun</c:v>
                </c:pt>
                <c:pt idx="4">
                  <c:v>14-Jun</c:v>
                </c:pt>
                <c:pt idx="5">
                  <c:v>15-Jun</c:v>
                </c:pt>
                <c:pt idx="6">
                  <c:v>16-Jun</c:v>
                </c:pt>
                <c:pt idx="7">
                  <c:v>17-Jun</c:v>
                </c:pt>
                <c:pt idx="8">
                  <c:v>18-Jun</c:v>
                </c:pt>
                <c:pt idx="9">
                  <c:v>19-Jun</c:v>
                </c:pt>
                <c:pt idx="10">
                  <c:v>1-Jun</c:v>
                </c:pt>
                <c:pt idx="11">
                  <c:v>20-Jun</c:v>
                </c:pt>
                <c:pt idx="12">
                  <c:v>21-Jun</c:v>
                </c:pt>
                <c:pt idx="13">
                  <c:v>22-Jun</c:v>
                </c:pt>
                <c:pt idx="14">
                  <c:v>23-Jun</c:v>
                </c:pt>
                <c:pt idx="15">
                  <c:v>24-Jun</c:v>
                </c:pt>
                <c:pt idx="16">
                  <c:v>25-Jun</c:v>
                </c:pt>
                <c:pt idx="17">
                  <c:v>26-Jun</c:v>
                </c:pt>
                <c:pt idx="18">
                  <c:v>27-Jun</c:v>
                </c:pt>
                <c:pt idx="19">
                  <c:v>28-Jun</c:v>
                </c:pt>
                <c:pt idx="20">
                  <c:v>29-Jun</c:v>
                </c:pt>
                <c:pt idx="21">
                  <c:v>2-Jun</c:v>
                </c:pt>
                <c:pt idx="22">
                  <c:v>30-Jun</c:v>
                </c:pt>
                <c:pt idx="23">
                  <c:v>3-Jun</c:v>
                </c:pt>
                <c:pt idx="24">
                  <c:v>4-Jun</c:v>
                </c:pt>
                <c:pt idx="25">
                  <c:v>5-Jun</c:v>
                </c:pt>
                <c:pt idx="26">
                  <c:v>6-Jun</c:v>
                </c:pt>
                <c:pt idx="27">
                  <c:v>7-Jun</c:v>
                </c:pt>
                <c:pt idx="28">
                  <c:v>8-Jun</c:v>
                </c:pt>
                <c:pt idx="29">
                  <c:v>9-Jun</c:v>
                </c:pt>
              </c:strCache>
            </c:strRef>
          </c:cat>
          <c:val>
            <c:numRef>
              <c:f>'Pivot Report'!$N$8:$N$38</c:f>
              <c:numCache>
                <c:formatCode>0.00</c:formatCode>
                <c:ptCount val="30"/>
                <c:pt idx="0">
                  <c:v>5</c:v>
                </c:pt>
                <c:pt idx="1">
                  <c:v>6.166666666666667</c:v>
                </c:pt>
                <c:pt idx="2">
                  <c:v>3</c:v>
                </c:pt>
                <c:pt idx="3">
                  <c:v>4.5</c:v>
                </c:pt>
                <c:pt idx="4">
                  <c:v>4.666666666666667</c:v>
                </c:pt>
                <c:pt idx="5">
                  <c:v>9</c:v>
                </c:pt>
                <c:pt idx="6">
                  <c:v>1.5</c:v>
                </c:pt>
                <c:pt idx="7">
                  <c:v>6.8</c:v>
                </c:pt>
                <c:pt idx="8">
                  <c:v>4.625</c:v>
                </c:pt>
                <c:pt idx="9">
                  <c:v>4.333333333333333</c:v>
                </c:pt>
                <c:pt idx="10">
                  <c:v>4.8</c:v>
                </c:pt>
                <c:pt idx="11">
                  <c:v>1.3333333333333333</c:v>
                </c:pt>
                <c:pt idx="12">
                  <c:v>5</c:v>
                </c:pt>
                <c:pt idx="13">
                  <c:v>3.1666666666666665</c:v>
                </c:pt>
                <c:pt idx="14">
                  <c:v>7.5</c:v>
                </c:pt>
                <c:pt idx="15">
                  <c:v>4.2</c:v>
                </c:pt>
                <c:pt idx="16">
                  <c:v>4.625</c:v>
                </c:pt>
                <c:pt idx="17">
                  <c:v>9.6666666666666661</c:v>
                </c:pt>
                <c:pt idx="18">
                  <c:v>6.125</c:v>
                </c:pt>
                <c:pt idx="19">
                  <c:v>5.5555555555555554</c:v>
                </c:pt>
                <c:pt idx="20">
                  <c:v>6.333333333333333</c:v>
                </c:pt>
                <c:pt idx="21">
                  <c:v>5.333333333333333</c:v>
                </c:pt>
                <c:pt idx="22">
                  <c:v>5.333333333333333</c:v>
                </c:pt>
                <c:pt idx="23">
                  <c:v>6.666666666666667</c:v>
                </c:pt>
                <c:pt idx="24">
                  <c:v>4.5555555555555554</c:v>
                </c:pt>
                <c:pt idx="25">
                  <c:v>4.333333333333333</c:v>
                </c:pt>
                <c:pt idx="26">
                  <c:v>7.333333333333333</c:v>
                </c:pt>
                <c:pt idx="27">
                  <c:v>5.25</c:v>
                </c:pt>
                <c:pt idx="28">
                  <c:v>6.333333333333333</c:v>
                </c:pt>
                <c:pt idx="29">
                  <c:v>5.7142857142857144</c:v>
                </c:pt>
              </c:numCache>
            </c:numRef>
          </c:val>
          <c:extLst>
            <c:ext xmlns:c16="http://schemas.microsoft.com/office/drawing/2014/chart" uri="{C3380CC4-5D6E-409C-BE32-E72D297353CC}">
              <c16:uniqueId val="{00000003-A133-4BF5-8930-3AFFE9FF9D8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4474671"/>
        <c:axId val="164475631"/>
      </c:areaChart>
      <c:catAx>
        <c:axId val="1644746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475631"/>
        <c:crosses val="autoZero"/>
        <c:auto val="1"/>
        <c:lblAlgn val="ctr"/>
        <c:lblOffset val="100"/>
        <c:noMultiLvlLbl val="0"/>
      </c:catAx>
      <c:valAx>
        <c:axId val="164475631"/>
        <c:scaling>
          <c:orientation val="minMax"/>
        </c:scaling>
        <c:delete val="1"/>
        <c:axPos val="l"/>
        <c:numFmt formatCode="0.00" sourceLinked="1"/>
        <c:majorTickMark val="out"/>
        <c:minorTickMark val="none"/>
        <c:tickLblPos val="nextTo"/>
        <c:crossAx val="1644746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55610526560284E-2"/>
          <c:y val="7.1588366890380312E-2"/>
          <c:w val="0.93128899263698228"/>
          <c:h val="0.78613257235463019"/>
        </c:manualLayout>
      </c:layout>
      <c:areaChart>
        <c:grouping val="standard"/>
        <c:varyColors val="0"/>
        <c:ser>
          <c:idx val="0"/>
          <c:order val="0"/>
          <c:tx>
            <c:strRef>
              <c:f>'Pivot Report'!$E$7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Report'!$D$8:$D$38</c:f>
              <c:strCache>
                <c:ptCount val="30"/>
                <c:pt idx="0">
                  <c:v>10-Jun</c:v>
                </c:pt>
                <c:pt idx="1">
                  <c:v>11-Jun</c:v>
                </c:pt>
                <c:pt idx="2">
                  <c:v>12-Jun</c:v>
                </c:pt>
                <c:pt idx="3">
                  <c:v>13-Jun</c:v>
                </c:pt>
                <c:pt idx="4">
                  <c:v>14-Jun</c:v>
                </c:pt>
                <c:pt idx="5">
                  <c:v>15-Jun</c:v>
                </c:pt>
                <c:pt idx="6">
                  <c:v>16-Jun</c:v>
                </c:pt>
                <c:pt idx="7">
                  <c:v>17-Jun</c:v>
                </c:pt>
                <c:pt idx="8">
                  <c:v>18-Jun</c:v>
                </c:pt>
                <c:pt idx="9">
                  <c:v>19-Jun</c:v>
                </c:pt>
                <c:pt idx="10">
                  <c:v>1-Jun</c:v>
                </c:pt>
                <c:pt idx="11">
                  <c:v>20-Jun</c:v>
                </c:pt>
                <c:pt idx="12">
                  <c:v>21-Jun</c:v>
                </c:pt>
                <c:pt idx="13">
                  <c:v>22-Jun</c:v>
                </c:pt>
                <c:pt idx="14">
                  <c:v>23-Jun</c:v>
                </c:pt>
                <c:pt idx="15">
                  <c:v>24-Jun</c:v>
                </c:pt>
                <c:pt idx="16">
                  <c:v>25-Jun</c:v>
                </c:pt>
                <c:pt idx="17">
                  <c:v>26-Jun</c:v>
                </c:pt>
                <c:pt idx="18">
                  <c:v>27-Jun</c:v>
                </c:pt>
                <c:pt idx="19">
                  <c:v>28-Jun</c:v>
                </c:pt>
                <c:pt idx="20">
                  <c:v>29-Jun</c:v>
                </c:pt>
                <c:pt idx="21">
                  <c:v>2-Jun</c:v>
                </c:pt>
                <c:pt idx="22">
                  <c:v>30-Jun</c:v>
                </c:pt>
                <c:pt idx="23">
                  <c:v>3-Jun</c:v>
                </c:pt>
                <c:pt idx="24">
                  <c:v>4-Jun</c:v>
                </c:pt>
                <c:pt idx="25">
                  <c:v>5-Jun</c:v>
                </c:pt>
                <c:pt idx="26">
                  <c:v>6-Jun</c:v>
                </c:pt>
                <c:pt idx="27">
                  <c:v>7-Jun</c:v>
                </c:pt>
                <c:pt idx="28">
                  <c:v>8-Jun</c:v>
                </c:pt>
                <c:pt idx="29">
                  <c:v>9-Jun</c:v>
                </c:pt>
              </c:strCache>
            </c:strRef>
          </c:cat>
          <c:val>
            <c:numRef>
              <c:f>'Pivot Report'!$E$8:$E$38</c:f>
              <c:numCache>
                <c:formatCode>General</c:formatCode>
                <c:ptCount val="30"/>
                <c:pt idx="0">
                  <c:v>14</c:v>
                </c:pt>
                <c:pt idx="1">
                  <c:v>17</c:v>
                </c:pt>
                <c:pt idx="2">
                  <c:v>20</c:v>
                </c:pt>
                <c:pt idx="3">
                  <c:v>13</c:v>
                </c:pt>
                <c:pt idx="4">
                  <c:v>14</c:v>
                </c:pt>
                <c:pt idx="5">
                  <c:v>15</c:v>
                </c:pt>
                <c:pt idx="6">
                  <c:v>13</c:v>
                </c:pt>
                <c:pt idx="7">
                  <c:v>15</c:v>
                </c:pt>
                <c:pt idx="8">
                  <c:v>17</c:v>
                </c:pt>
                <c:pt idx="9">
                  <c:v>10</c:v>
                </c:pt>
                <c:pt idx="10">
                  <c:v>26</c:v>
                </c:pt>
                <c:pt idx="11">
                  <c:v>13</c:v>
                </c:pt>
                <c:pt idx="12">
                  <c:v>17</c:v>
                </c:pt>
                <c:pt idx="13">
                  <c:v>26</c:v>
                </c:pt>
                <c:pt idx="14">
                  <c:v>8</c:v>
                </c:pt>
                <c:pt idx="15">
                  <c:v>17</c:v>
                </c:pt>
                <c:pt idx="16">
                  <c:v>18</c:v>
                </c:pt>
                <c:pt idx="17">
                  <c:v>19</c:v>
                </c:pt>
                <c:pt idx="18">
                  <c:v>20</c:v>
                </c:pt>
                <c:pt idx="19">
                  <c:v>23</c:v>
                </c:pt>
                <c:pt idx="20">
                  <c:v>16</c:v>
                </c:pt>
                <c:pt idx="21">
                  <c:v>17</c:v>
                </c:pt>
                <c:pt idx="22">
                  <c:v>12</c:v>
                </c:pt>
                <c:pt idx="23">
                  <c:v>19</c:v>
                </c:pt>
                <c:pt idx="24">
                  <c:v>17</c:v>
                </c:pt>
                <c:pt idx="25">
                  <c:v>18</c:v>
                </c:pt>
                <c:pt idx="26">
                  <c:v>17</c:v>
                </c:pt>
                <c:pt idx="27">
                  <c:v>17</c:v>
                </c:pt>
                <c:pt idx="28">
                  <c:v>19</c:v>
                </c:pt>
                <c:pt idx="29">
                  <c:v>19</c:v>
                </c:pt>
              </c:numCache>
            </c:numRef>
          </c:val>
          <c:extLst>
            <c:ext xmlns:c16="http://schemas.microsoft.com/office/drawing/2014/chart" uri="{C3380CC4-5D6E-409C-BE32-E72D297353CC}">
              <c16:uniqueId val="{00000003-7903-4FD6-94F5-6E583A10957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41705951"/>
        <c:axId val="1913838223"/>
      </c:areaChart>
      <c:catAx>
        <c:axId val="1441705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3838223"/>
        <c:crosses val="autoZero"/>
        <c:auto val="1"/>
        <c:lblAlgn val="ctr"/>
        <c:lblOffset val="100"/>
        <c:noMultiLvlLbl val="0"/>
      </c:catAx>
      <c:valAx>
        <c:axId val="1913838223"/>
        <c:scaling>
          <c:orientation val="minMax"/>
        </c:scaling>
        <c:delete val="1"/>
        <c:axPos val="l"/>
        <c:numFmt formatCode="General" sourceLinked="1"/>
        <c:majorTickMark val="out"/>
        <c:minorTickMark val="none"/>
        <c:tickLblPos val="nextTo"/>
        <c:crossAx val="14417059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Report'!$H$8:$H$38</c:f>
              <c:strCache>
                <c:ptCount val="30"/>
                <c:pt idx="0">
                  <c:v>10-Jun</c:v>
                </c:pt>
                <c:pt idx="1">
                  <c:v>11-Jun</c:v>
                </c:pt>
                <c:pt idx="2">
                  <c:v>12-Jun</c:v>
                </c:pt>
                <c:pt idx="3">
                  <c:v>13-Jun</c:v>
                </c:pt>
                <c:pt idx="4">
                  <c:v>14-Jun</c:v>
                </c:pt>
                <c:pt idx="5">
                  <c:v>15-Jun</c:v>
                </c:pt>
                <c:pt idx="6">
                  <c:v>16-Jun</c:v>
                </c:pt>
                <c:pt idx="7">
                  <c:v>17-Jun</c:v>
                </c:pt>
                <c:pt idx="8">
                  <c:v>18-Jun</c:v>
                </c:pt>
                <c:pt idx="9">
                  <c:v>19-Jun</c:v>
                </c:pt>
                <c:pt idx="10">
                  <c:v>1-Jun</c:v>
                </c:pt>
                <c:pt idx="11">
                  <c:v>20-Jun</c:v>
                </c:pt>
                <c:pt idx="12">
                  <c:v>21-Jun</c:v>
                </c:pt>
                <c:pt idx="13">
                  <c:v>22-Jun</c:v>
                </c:pt>
                <c:pt idx="14">
                  <c:v>23-Jun</c:v>
                </c:pt>
                <c:pt idx="15">
                  <c:v>24-Jun</c:v>
                </c:pt>
                <c:pt idx="16">
                  <c:v>25-Jun</c:v>
                </c:pt>
                <c:pt idx="17">
                  <c:v>26-Jun</c:v>
                </c:pt>
                <c:pt idx="18">
                  <c:v>27-Jun</c:v>
                </c:pt>
                <c:pt idx="19">
                  <c:v>28-Jun</c:v>
                </c:pt>
                <c:pt idx="20">
                  <c:v>29-Jun</c:v>
                </c:pt>
                <c:pt idx="21">
                  <c:v>2-Jun</c:v>
                </c:pt>
                <c:pt idx="22">
                  <c:v>30-Jun</c:v>
                </c:pt>
                <c:pt idx="23">
                  <c:v>3-Jun</c:v>
                </c:pt>
                <c:pt idx="24">
                  <c:v>4-Jun</c:v>
                </c:pt>
                <c:pt idx="25">
                  <c:v>5-Jun</c:v>
                </c:pt>
                <c:pt idx="26">
                  <c:v>6-Jun</c:v>
                </c:pt>
                <c:pt idx="27">
                  <c:v>7-Jun</c:v>
                </c:pt>
                <c:pt idx="28">
                  <c:v>8-Jun</c:v>
                </c:pt>
                <c:pt idx="29">
                  <c:v>9-Jun</c:v>
                </c:pt>
              </c:strCache>
            </c:strRef>
          </c:cat>
          <c:val>
            <c:numRef>
              <c:f>'Pivot Report'!$I$8:$I$38</c:f>
              <c:numCache>
                <c:formatCode>0.00</c:formatCode>
                <c:ptCount val="30"/>
                <c:pt idx="0">
                  <c:v>31.428571428571427</c:v>
                </c:pt>
                <c:pt idx="1">
                  <c:v>45.470588235294116</c:v>
                </c:pt>
                <c:pt idx="2">
                  <c:v>32.549999999999997</c:v>
                </c:pt>
                <c:pt idx="3">
                  <c:v>39.615384615384613</c:v>
                </c:pt>
                <c:pt idx="4">
                  <c:v>36</c:v>
                </c:pt>
                <c:pt idx="5">
                  <c:v>31.6</c:v>
                </c:pt>
                <c:pt idx="6">
                  <c:v>33.846153846153847</c:v>
                </c:pt>
                <c:pt idx="7">
                  <c:v>31.8</c:v>
                </c:pt>
                <c:pt idx="8">
                  <c:v>36</c:v>
                </c:pt>
                <c:pt idx="9">
                  <c:v>29.8</c:v>
                </c:pt>
                <c:pt idx="10">
                  <c:v>34.884615384615387</c:v>
                </c:pt>
                <c:pt idx="11">
                  <c:v>41.307692307692307</c:v>
                </c:pt>
                <c:pt idx="12">
                  <c:v>29.764705882352942</c:v>
                </c:pt>
                <c:pt idx="13">
                  <c:v>37.92307692307692</c:v>
                </c:pt>
                <c:pt idx="14">
                  <c:v>38.625</c:v>
                </c:pt>
                <c:pt idx="15">
                  <c:v>41.470588235294116</c:v>
                </c:pt>
                <c:pt idx="16">
                  <c:v>39.5</c:v>
                </c:pt>
                <c:pt idx="17">
                  <c:v>29.736842105263158</c:v>
                </c:pt>
                <c:pt idx="18">
                  <c:v>37.75</c:v>
                </c:pt>
                <c:pt idx="19">
                  <c:v>37.782608695652172</c:v>
                </c:pt>
                <c:pt idx="20">
                  <c:v>34.1875</c:v>
                </c:pt>
                <c:pt idx="21">
                  <c:v>34.941176470588232</c:v>
                </c:pt>
                <c:pt idx="22">
                  <c:v>36.166666666666664</c:v>
                </c:pt>
                <c:pt idx="23">
                  <c:v>32.736842105263158</c:v>
                </c:pt>
                <c:pt idx="24">
                  <c:v>34.411764705882355</c:v>
                </c:pt>
                <c:pt idx="25">
                  <c:v>34.388888888888886</c:v>
                </c:pt>
                <c:pt idx="26">
                  <c:v>33.294117647058826</c:v>
                </c:pt>
                <c:pt idx="27">
                  <c:v>35</c:v>
                </c:pt>
                <c:pt idx="28">
                  <c:v>36.736842105263158</c:v>
                </c:pt>
                <c:pt idx="29">
                  <c:v>37.368421052631582</c:v>
                </c:pt>
              </c:numCache>
            </c:numRef>
          </c:val>
          <c:extLst>
            <c:ext xmlns:c16="http://schemas.microsoft.com/office/drawing/2014/chart" uri="{C3380CC4-5D6E-409C-BE32-E72D297353CC}">
              <c16:uniqueId val="{00000003-C12D-4D27-A89D-2C6B2DB19E5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4352095"/>
        <c:axId val="254350175"/>
      </c:areaChart>
      <c:catAx>
        <c:axId val="2543520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4350175"/>
        <c:crosses val="autoZero"/>
        <c:auto val="1"/>
        <c:lblAlgn val="ctr"/>
        <c:lblOffset val="100"/>
        <c:noMultiLvlLbl val="0"/>
      </c:catAx>
      <c:valAx>
        <c:axId val="254350175"/>
        <c:scaling>
          <c:orientation val="minMax"/>
        </c:scaling>
        <c:delete val="1"/>
        <c:axPos val="l"/>
        <c:numFmt formatCode="0.00" sourceLinked="1"/>
        <c:majorTickMark val="out"/>
        <c:minorTickMark val="none"/>
        <c:tickLblPos val="nextTo"/>
        <c:crossAx val="254352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count of patient char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9.xml"/><Relationship Id="rId1" Type="http://schemas.openxmlformats.org/officeDocument/2006/relationships/hyperlink" Target="#'Patient Satisfaction Score'!A1"/><Relationship Id="rId5" Type="http://schemas.openxmlformats.org/officeDocument/2006/relationships/image" Target="../media/image11.sv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3</xdr:col>
      <xdr:colOff>1917700</xdr:colOff>
      <xdr:row>1</xdr:row>
      <xdr:rowOff>38101</xdr:rowOff>
    </xdr:from>
    <xdr:to>
      <xdr:col>5</xdr:col>
      <xdr:colOff>749300</xdr:colOff>
      <xdr:row>2</xdr:row>
      <xdr:rowOff>12701</xdr:rowOff>
    </xdr:to>
    <mc:AlternateContent xmlns:mc="http://schemas.openxmlformats.org/markup-compatibility/2006">
      <mc:Choice xmlns:a14="http://schemas.microsoft.com/office/drawing/2010/main" Requires="a14">
        <xdr:graphicFrame macro="">
          <xdr:nvGraphicFramePr>
            <xdr:cNvPr id="4" name="Date (Month)">
              <a:extLst>
                <a:ext uri="{FF2B5EF4-FFF2-40B4-BE49-F238E27FC236}">
                  <a16:creationId xmlns:a16="http://schemas.microsoft.com/office/drawing/2014/main" id="{2F64BB84-4B64-A4A2-B9C4-2C917D33C4A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3905250" y="222251"/>
              <a:ext cx="1828800" cy="15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1325336</xdr:colOff>
      <xdr:row>52</xdr:row>
      <xdr:rowOff>105834</xdr:rowOff>
    </xdr:from>
    <xdr:to>
      <xdr:col>6</xdr:col>
      <xdr:colOff>152400</xdr:colOff>
      <xdr:row>57</xdr:row>
      <xdr:rowOff>46265</xdr:rowOff>
    </xdr:to>
    <xdr:graphicFrame macro="">
      <xdr:nvGraphicFramePr>
        <xdr:cNvPr id="9" name="Chart 8">
          <a:extLst>
            <a:ext uri="{FF2B5EF4-FFF2-40B4-BE49-F238E27FC236}">
              <a16:creationId xmlns:a16="http://schemas.microsoft.com/office/drawing/2014/main" id="{FECED7E8-E429-4E77-B3D1-6A04F5339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95250</xdr:colOff>
      <xdr:row>75</xdr:row>
      <xdr:rowOff>31750</xdr:rowOff>
    </xdr:from>
    <xdr:to>
      <xdr:col>6</xdr:col>
      <xdr:colOff>38100</xdr:colOff>
      <xdr:row>88</xdr:row>
      <xdr:rowOff>161925</xdr:rowOff>
    </xdr:to>
    <mc:AlternateContent xmlns:mc="http://schemas.openxmlformats.org/markup-compatibility/2006">
      <mc:Choice xmlns:a14="http://schemas.microsoft.com/office/drawing/2010/main" Requires="a14">
        <xdr:graphicFrame macro="">
          <xdr:nvGraphicFramePr>
            <xdr:cNvPr id="17" name="Date (Year)">
              <a:extLst>
                <a:ext uri="{FF2B5EF4-FFF2-40B4-BE49-F238E27FC236}">
                  <a16:creationId xmlns:a16="http://schemas.microsoft.com/office/drawing/2014/main" id="{6563A3F6-C0F4-4E6D-3713-50C282F34D7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080000" y="13785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xdr:row>
      <xdr:rowOff>69850</xdr:rowOff>
    </xdr:from>
    <xdr:to>
      <xdr:col>7</xdr:col>
      <xdr:colOff>228600</xdr:colOff>
      <xdr:row>5</xdr:row>
      <xdr:rowOff>69850</xdr:rowOff>
    </xdr:to>
    <xdr:sp macro="" textlink="">
      <xdr:nvSpPr>
        <xdr:cNvPr id="2" name="Rectangle: Rounded Corners 1">
          <a:extLst>
            <a:ext uri="{FF2B5EF4-FFF2-40B4-BE49-F238E27FC236}">
              <a16:creationId xmlns:a16="http://schemas.microsoft.com/office/drawing/2014/main" id="{00ACAAD4-DCCA-7817-FC9B-AAF4640D3D0E}"/>
            </a:ext>
          </a:extLst>
        </xdr:cNvPr>
        <xdr:cNvSpPr/>
      </xdr:nvSpPr>
      <xdr:spPr>
        <a:xfrm>
          <a:off x="381000" y="254000"/>
          <a:ext cx="4114800" cy="7366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7</xdr:col>
      <xdr:colOff>374650</xdr:colOff>
      <xdr:row>1</xdr:row>
      <xdr:rowOff>57150</xdr:rowOff>
    </xdr:from>
    <xdr:to>
      <xdr:col>11</xdr:col>
      <xdr:colOff>25918</xdr:colOff>
      <xdr:row>5</xdr:row>
      <xdr:rowOff>57150</xdr:rowOff>
    </xdr:to>
    <xdr:sp macro="" textlink="">
      <xdr:nvSpPr>
        <xdr:cNvPr id="3" name="Rectangle: Rounded Corners 2">
          <a:extLst>
            <a:ext uri="{FF2B5EF4-FFF2-40B4-BE49-F238E27FC236}">
              <a16:creationId xmlns:a16="http://schemas.microsoft.com/office/drawing/2014/main" id="{A2B9D1C8-04D9-7D94-AF0E-3E9806AF27CF}"/>
            </a:ext>
          </a:extLst>
        </xdr:cNvPr>
        <xdr:cNvSpPr/>
      </xdr:nvSpPr>
      <xdr:spPr>
        <a:xfrm>
          <a:off x="4638221" y="238579"/>
          <a:ext cx="2087595" cy="72571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216029</xdr:colOff>
      <xdr:row>1</xdr:row>
      <xdr:rowOff>75941</xdr:rowOff>
    </xdr:from>
    <xdr:to>
      <xdr:col>14</xdr:col>
      <xdr:colOff>444629</xdr:colOff>
      <xdr:row>11</xdr:row>
      <xdr:rowOff>164841</xdr:rowOff>
    </xdr:to>
    <xdr:sp macro="" textlink="">
      <xdr:nvSpPr>
        <xdr:cNvPr id="4" name="Rectangle: Rounded Corners 3">
          <a:extLst>
            <a:ext uri="{FF2B5EF4-FFF2-40B4-BE49-F238E27FC236}">
              <a16:creationId xmlns:a16="http://schemas.microsoft.com/office/drawing/2014/main" id="{A36B40E8-2EC1-F240-2CD7-FACF5BE73B23}"/>
            </a:ext>
          </a:extLst>
        </xdr:cNvPr>
        <xdr:cNvSpPr/>
      </xdr:nvSpPr>
      <xdr:spPr>
        <a:xfrm>
          <a:off x="6921629" y="260091"/>
          <a:ext cx="2057400" cy="19304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15</xdr:col>
      <xdr:colOff>120650</xdr:colOff>
      <xdr:row>1</xdr:row>
      <xdr:rowOff>114300</xdr:rowOff>
    </xdr:from>
    <xdr:to>
      <xdr:col>18</xdr:col>
      <xdr:colOff>349250</xdr:colOff>
      <xdr:row>11</xdr:row>
      <xdr:rowOff>165100</xdr:rowOff>
    </xdr:to>
    <xdr:sp macro="" textlink="">
      <xdr:nvSpPr>
        <xdr:cNvPr id="6" name="Rectangle: Rounded Corners 5">
          <a:extLst>
            <a:ext uri="{FF2B5EF4-FFF2-40B4-BE49-F238E27FC236}">
              <a16:creationId xmlns:a16="http://schemas.microsoft.com/office/drawing/2014/main" id="{A9C5F4A6-47B9-48BA-3CBE-27390D56C9FB}"/>
            </a:ext>
          </a:extLst>
        </xdr:cNvPr>
        <xdr:cNvSpPr/>
      </xdr:nvSpPr>
      <xdr:spPr>
        <a:xfrm>
          <a:off x="9264650" y="298450"/>
          <a:ext cx="2057400" cy="18923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0</xdr:col>
      <xdr:colOff>381000</xdr:colOff>
      <xdr:row>5</xdr:row>
      <xdr:rowOff>127000</xdr:rowOff>
    </xdr:from>
    <xdr:to>
      <xdr:col>2</xdr:col>
      <xdr:colOff>165100</xdr:colOff>
      <xdr:row>25</xdr:row>
      <xdr:rowOff>88900</xdr:rowOff>
    </xdr:to>
    <xdr:sp macro="" textlink="">
      <xdr:nvSpPr>
        <xdr:cNvPr id="7" name="Rectangle: Rounded Corners 6">
          <a:extLst>
            <a:ext uri="{FF2B5EF4-FFF2-40B4-BE49-F238E27FC236}">
              <a16:creationId xmlns:a16="http://schemas.microsoft.com/office/drawing/2014/main" id="{569C7355-494F-6581-186F-E9A73293EF51}"/>
            </a:ext>
          </a:extLst>
        </xdr:cNvPr>
        <xdr:cNvSpPr/>
      </xdr:nvSpPr>
      <xdr:spPr>
        <a:xfrm>
          <a:off x="381000" y="1047750"/>
          <a:ext cx="1003300" cy="36449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298450</xdr:colOff>
      <xdr:row>5</xdr:row>
      <xdr:rowOff>155510</xdr:rowOff>
    </xdr:from>
    <xdr:to>
      <xdr:col>5</xdr:col>
      <xdr:colOff>38100</xdr:colOff>
      <xdr:row>10</xdr:row>
      <xdr:rowOff>50800</xdr:rowOff>
    </xdr:to>
    <xdr:sp macro="" textlink="'Pivot Report'!B7">
      <xdr:nvSpPr>
        <xdr:cNvPr id="8" name="Rectangle: Rounded Corners 7">
          <a:extLst>
            <a:ext uri="{FF2B5EF4-FFF2-40B4-BE49-F238E27FC236}">
              <a16:creationId xmlns:a16="http://schemas.microsoft.com/office/drawing/2014/main" id="{7FD1BFD0-D93D-4CE8-912A-EC02FC17B364}"/>
            </a:ext>
          </a:extLst>
        </xdr:cNvPr>
        <xdr:cNvSpPr/>
      </xdr:nvSpPr>
      <xdr:spPr>
        <a:xfrm>
          <a:off x="1516613" y="1062653"/>
          <a:ext cx="1566895" cy="802433"/>
        </a:xfrm>
        <a:prstGeom prst="roundRect">
          <a:avLst>
            <a:gd name="adj" fmla="val 909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580472-CBFA-480B-958F-7145B08A4138}" type="TxLink">
            <a:rPr lang="en-US" sz="1400" b="0" i="0" u="none" strike="noStrike">
              <a:solidFill>
                <a:srgbClr val="000000"/>
              </a:solidFill>
              <a:latin typeface="Calibri"/>
              <a:ea typeface="Calibri"/>
              <a:cs typeface="Calibri"/>
            </a:rPr>
            <a:pPr algn="ctr"/>
            <a:t>506</a:t>
          </a:fld>
          <a:endParaRPr lang="en-IN" sz="1400"/>
        </a:p>
      </xdr:txBody>
    </xdr:sp>
    <xdr:clientData/>
  </xdr:twoCellAnchor>
  <xdr:twoCellAnchor>
    <xdr:from>
      <xdr:col>5</xdr:col>
      <xdr:colOff>228600</xdr:colOff>
      <xdr:row>5</xdr:row>
      <xdr:rowOff>133350</xdr:rowOff>
    </xdr:from>
    <xdr:to>
      <xdr:col>8</xdr:col>
      <xdr:colOff>25400</xdr:colOff>
      <xdr:row>10</xdr:row>
      <xdr:rowOff>50800</xdr:rowOff>
    </xdr:to>
    <xdr:sp macro="" textlink="'Pivot Report'!B10">
      <xdr:nvSpPr>
        <xdr:cNvPr id="9" name="Rectangle: Rounded Corners 8">
          <a:extLst>
            <a:ext uri="{FF2B5EF4-FFF2-40B4-BE49-F238E27FC236}">
              <a16:creationId xmlns:a16="http://schemas.microsoft.com/office/drawing/2014/main" id="{6100A9EB-B5CB-1F6A-1943-71A00AE311D9}"/>
            </a:ext>
          </a:extLst>
        </xdr:cNvPr>
        <xdr:cNvSpPr/>
      </xdr:nvSpPr>
      <xdr:spPr>
        <a:xfrm>
          <a:off x="3276600" y="1054100"/>
          <a:ext cx="1625600" cy="838200"/>
        </a:xfrm>
        <a:prstGeom prst="roundRect">
          <a:avLst>
            <a:gd name="adj" fmla="val 8334"/>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EAC6BDB-D31C-4D65-93D1-0E5E3C7A5525}" type="TxLink">
            <a:rPr lang="en-US" sz="1400" b="0" i="0" u="none" strike="noStrike">
              <a:solidFill>
                <a:srgbClr val="000000"/>
              </a:solidFill>
              <a:latin typeface="Calibri"/>
              <a:ea typeface="Calibri"/>
              <a:cs typeface="Calibri"/>
            </a:rPr>
            <a:pPr algn="ctr"/>
            <a:t>35.58</a:t>
          </a:fld>
          <a:endParaRPr lang="en-IN" sz="1400"/>
        </a:p>
      </xdr:txBody>
    </xdr:sp>
    <xdr:clientData/>
  </xdr:twoCellAnchor>
  <xdr:twoCellAnchor>
    <xdr:from>
      <xdr:col>8</xdr:col>
      <xdr:colOff>228600</xdr:colOff>
      <xdr:row>5</xdr:row>
      <xdr:rowOff>133350</xdr:rowOff>
    </xdr:from>
    <xdr:to>
      <xdr:col>11</xdr:col>
      <xdr:colOff>25400</xdr:colOff>
      <xdr:row>10</xdr:row>
      <xdr:rowOff>50800</xdr:rowOff>
    </xdr:to>
    <xdr:sp macro="" textlink="'Pivot Report'!B15">
      <xdr:nvSpPr>
        <xdr:cNvPr id="10" name="Rectangle: Rounded Corners 9">
          <a:extLst>
            <a:ext uri="{FF2B5EF4-FFF2-40B4-BE49-F238E27FC236}">
              <a16:creationId xmlns:a16="http://schemas.microsoft.com/office/drawing/2014/main" id="{D0B3B6C6-271A-63AA-335C-0E8CC6F033D6}"/>
            </a:ext>
          </a:extLst>
        </xdr:cNvPr>
        <xdr:cNvSpPr/>
      </xdr:nvSpPr>
      <xdr:spPr>
        <a:xfrm>
          <a:off x="5105400" y="1054100"/>
          <a:ext cx="1625600" cy="838200"/>
        </a:xfrm>
        <a:prstGeom prst="roundRect">
          <a:avLst>
            <a:gd name="adj" fmla="val 909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A6728BB-B3B0-4FE8-8F34-AC894B349BD7}" type="TxLink">
            <a:rPr lang="en-US" sz="1400" b="0" i="0" u="none" strike="noStrike">
              <a:solidFill>
                <a:srgbClr val="000000"/>
              </a:solidFill>
              <a:latin typeface="Calibri"/>
              <a:ea typeface="Calibri"/>
              <a:cs typeface="Calibri"/>
            </a:rPr>
            <a:pPr algn="ctr"/>
            <a:t>5.18</a:t>
          </a:fld>
          <a:endParaRPr lang="en-IN" sz="1400"/>
        </a:p>
      </xdr:txBody>
    </xdr:sp>
    <xdr:clientData/>
  </xdr:twoCellAnchor>
  <xdr:twoCellAnchor>
    <xdr:from>
      <xdr:col>2</xdr:col>
      <xdr:colOff>298450</xdr:colOff>
      <xdr:row>10</xdr:row>
      <xdr:rowOff>152400</xdr:rowOff>
    </xdr:from>
    <xdr:to>
      <xdr:col>11</xdr:col>
      <xdr:colOff>63500</xdr:colOff>
      <xdr:row>15</xdr:row>
      <xdr:rowOff>69850</xdr:rowOff>
    </xdr:to>
    <xdr:sp macro="" textlink="">
      <xdr:nvSpPr>
        <xdr:cNvPr id="12" name="Rectangle: Rounded Corners 11">
          <a:extLst>
            <a:ext uri="{FF2B5EF4-FFF2-40B4-BE49-F238E27FC236}">
              <a16:creationId xmlns:a16="http://schemas.microsoft.com/office/drawing/2014/main" id="{DD0D5FE0-CB2A-1CFA-B7D1-FF1D5389C79F}"/>
            </a:ext>
          </a:extLst>
        </xdr:cNvPr>
        <xdr:cNvSpPr/>
      </xdr:nvSpPr>
      <xdr:spPr>
        <a:xfrm>
          <a:off x="1517650" y="1993900"/>
          <a:ext cx="5251450" cy="8382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285102</xdr:colOff>
      <xdr:row>16</xdr:row>
      <xdr:rowOff>22679</xdr:rowOff>
    </xdr:from>
    <xdr:to>
      <xdr:col>11</xdr:col>
      <xdr:colOff>100952</xdr:colOff>
      <xdr:row>25</xdr:row>
      <xdr:rowOff>77107</xdr:rowOff>
    </xdr:to>
    <xdr:sp macro="" textlink="">
      <xdr:nvSpPr>
        <xdr:cNvPr id="13" name="Rectangle: Rounded Corners 12">
          <a:extLst>
            <a:ext uri="{FF2B5EF4-FFF2-40B4-BE49-F238E27FC236}">
              <a16:creationId xmlns:a16="http://schemas.microsoft.com/office/drawing/2014/main" id="{1CA99914-24E9-943B-B30B-C17BC844C85B}"/>
            </a:ext>
          </a:extLst>
        </xdr:cNvPr>
        <xdr:cNvSpPr/>
      </xdr:nvSpPr>
      <xdr:spPr>
        <a:xfrm>
          <a:off x="1503265" y="2925536"/>
          <a:ext cx="5297585" cy="168728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272144</xdr:colOff>
      <xdr:row>12</xdr:row>
      <xdr:rowOff>140865</xdr:rowOff>
    </xdr:from>
    <xdr:to>
      <xdr:col>18</xdr:col>
      <xdr:colOff>412750</xdr:colOff>
      <xdr:row>25</xdr:row>
      <xdr:rowOff>64665</xdr:rowOff>
    </xdr:to>
    <xdr:sp macro="" textlink="">
      <xdr:nvSpPr>
        <xdr:cNvPr id="14" name="Rectangle: Rounded Corners 13">
          <a:extLst>
            <a:ext uri="{FF2B5EF4-FFF2-40B4-BE49-F238E27FC236}">
              <a16:creationId xmlns:a16="http://schemas.microsoft.com/office/drawing/2014/main" id="{DBFCA4E4-AF05-E79F-4B54-36E83000C21C}"/>
            </a:ext>
          </a:extLst>
        </xdr:cNvPr>
        <xdr:cNvSpPr/>
      </xdr:nvSpPr>
      <xdr:spPr>
        <a:xfrm>
          <a:off x="6977744" y="2350665"/>
          <a:ext cx="4407806" cy="23177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165100</xdr:colOff>
      <xdr:row>2</xdr:row>
      <xdr:rowOff>0</xdr:rowOff>
    </xdr:from>
    <xdr:to>
      <xdr:col>7</xdr:col>
      <xdr:colOff>215900</xdr:colOff>
      <xdr:row>3</xdr:row>
      <xdr:rowOff>95250</xdr:rowOff>
    </xdr:to>
    <xdr:sp macro="" textlink="">
      <xdr:nvSpPr>
        <xdr:cNvPr id="15" name="TextBox 14">
          <a:extLst>
            <a:ext uri="{FF2B5EF4-FFF2-40B4-BE49-F238E27FC236}">
              <a16:creationId xmlns:a16="http://schemas.microsoft.com/office/drawing/2014/main" id="{12C56656-D201-A195-194B-C38E2158B7DA}"/>
            </a:ext>
          </a:extLst>
        </xdr:cNvPr>
        <xdr:cNvSpPr txBox="1"/>
      </xdr:nvSpPr>
      <xdr:spPr>
        <a:xfrm>
          <a:off x="1384300" y="368300"/>
          <a:ext cx="3098800" cy="279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Hospital</a:t>
          </a:r>
          <a:r>
            <a:rPr lang="en-IN" sz="1400" b="1" baseline="0"/>
            <a:t> Emergency Room Dashboard</a:t>
          </a:r>
        </a:p>
        <a:p>
          <a:endParaRPr lang="en-IN" sz="1400"/>
        </a:p>
      </xdr:txBody>
    </xdr:sp>
    <xdr:clientData/>
  </xdr:twoCellAnchor>
  <xdr:twoCellAnchor editAs="oneCell">
    <xdr:from>
      <xdr:col>0</xdr:col>
      <xdr:colOff>425450</xdr:colOff>
      <xdr:row>2</xdr:row>
      <xdr:rowOff>8354</xdr:rowOff>
    </xdr:from>
    <xdr:to>
      <xdr:col>2</xdr:col>
      <xdr:colOff>88900</xdr:colOff>
      <xdr:row>4</xdr:row>
      <xdr:rowOff>178935</xdr:rowOff>
    </xdr:to>
    <xdr:pic>
      <xdr:nvPicPr>
        <xdr:cNvPr id="17" name="Picture 16">
          <a:extLst>
            <a:ext uri="{FF2B5EF4-FFF2-40B4-BE49-F238E27FC236}">
              <a16:creationId xmlns:a16="http://schemas.microsoft.com/office/drawing/2014/main" id="{D11380A8-FF37-4790-8063-4192FD596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5450" y="376654"/>
          <a:ext cx="882650" cy="538881"/>
        </a:xfrm>
        <a:prstGeom prst="rect">
          <a:avLst/>
        </a:prstGeom>
        <a:solidFill>
          <a:schemeClr val="bg1">
            <a:lumMod val="95000"/>
          </a:schemeClr>
        </a:solidFill>
      </xdr:spPr>
    </xdr:pic>
    <xdr:clientData/>
  </xdr:twoCellAnchor>
  <xdr:twoCellAnchor editAs="absolute">
    <xdr:from>
      <xdr:col>1</xdr:col>
      <xdr:colOff>596900</xdr:colOff>
      <xdr:row>3</xdr:row>
      <xdr:rowOff>101600</xdr:rowOff>
    </xdr:from>
    <xdr:to>
      <xdr:col>7</xdr:col>
      <xdr:colOff>38100</xdr:colOff>
      <xdr:row>5</xdr:row>
      <xdr:rowOff>12700</xdr:rowOff>
    </xdr:to>
    <xdr:sp macro="" textlink="">
      <xdr:nvSpPr>
        <xdr:cNvPr id="19" name="TextBox 18">
          <a:extLst>
            <a:ext uri="{FF2B5EF4-FFF2-40B4-BE49-F238E27FC236}">
              <a16:creationId xmlns:a16="http://schemas.microsoft.com/office/drawing/2014/main" id="{6CC977A2-21B0-1D9F-8486-566743D9FBEA}"/>
            </a:ext>
          </a:extLst>
        </xdr:cNvPr>
        <xdr:cNvSpPr txBox="1"/>
      </xdr:nvSpPr>
      <xdr:spPr>
        <a:xfrm>
          <a:off x="1206500" y="654050"/>
          <a:ext cx="3098800" cy="279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t>Monthly Report</a:t>
          </a:r>
        </a:p>
        <a:p>
          <a:endParaRPr lang="en-IN" sz="1400"/>
        </a:p>
      </xdr:txBody>
    </xdr:sp>
    <xdr:clientData/>
  </xdr:twoCellAnchor>
  <xdr:twoCellAnchor editAs="absolute">
    <xdr:from>
      <xdr:col>3</xdr:col>
      <xdr:colOff>25400</xdr:colOff>
      <xdr:row>7</xdr:row>
      <xdr:rowOff>107950</xdr:rowOff>
    </xdr:from>
    <xdr:to>
      <xdr:col>4</xdr:col>
      <xdr:colOff>514350</xdr:colOff>
      <xdr:row>9</xdr:row>
      <xdr:rowOff>19050</xdr:rowOff>
    </xdr:to>
    <xdr:sp macro="" textlink="">
      <xdr:nvSpPr>
        <xdr:cNvPr id="20" name="TextBox 19">
          <a:extLst>
            <a:ext uri="{FF2B5EF4-FFF2-40B4-BE49-F238E27FC236}">
              <a16:creationId xmlns:a16="http://schemas.microsoft.com/office/drawing/2014/main" id="{1F16DDB9-84AD-A67B-F177-6E735B895C72}"/>
            </a:ext>
          </a:extLst>
        </xdr:cNvPr>
        <xdr:cNvSpPr txBox="1"/>
      </xdr:nvSpPr>
      <xdr:spPr>
        <a:xfrm>
          <a:off x="1854200" y="1397000"/>
          <a:ext cx="10985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No.of</a:t>
          </a:r>
          <a:r>
            <a:rPr lang="en-IN" sz="1200" baseline="0"/>
            <a:t> Patients</a:t>
          </a:r>
          <a:endParaRPr lang="en-IN" sz="1200"/>
        </a:p>
      </xdr:txBody>
    </xdr:sp>
    <xdr:clientData/>
  </xdr:twoCellAnchor>
  <xdr:twoCellAnchor editAs="absolute">
    <xdr:from>
      <xdr:col>5</xdr:col>
      <xdr:colOff>292100</xdr:colOff>
      <xdr:row>7</xdr:row>
      <xdr:rowOff>82550</xdr:rowOff>
    </xdr:from>
    <xdr:to>
      <xdr:col>7</xdr:col>
      <xdr:colOff>514350</xdr:colOff>
      <xdr:row>8</xdr:row>
      <xdr:rowOff>177800</xdr:rowOff>
    </xdr:to>
    <xdr:sp macro="" textlink="">
      <xdr:nvSpPr>
        <xdr:cNvPr id="21" name="TextBox 20">
          <a:extLst>
            <a:ext uri="{FF2B5EF4-FFF2-40B4-BE49-F238E27FC236}">
              <a16:creationId xmlns:a16="http://schemas.microsoft.com/office/drawing/2014/main" id="{1D3A14BE-6E3A-E71B-8AE3-5F8DD6B7202A}"/>
            </a:ext>
          </a:extLst>
        </xdr:cNvPr>
        <xdr:cNvSpPr txBox="1"/>
      </xdr:nvSpPr>
      <xdr:spPr>
        <a:xfrm>
          <a:off x="3340100" y="1371600"/>
          <a:ext cx="14414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t>Avg. Wait Time(Min)</a:t>
          </a:r>
        </a:p>
        <a:p>
          <a:endParaRPr lang="en-IN" sz="1400"/>
        </a:p>
      </xdr:txBody>
    </xdr:sp>
    <xdr:clientData/>
  </xdr:twoCellAnchor>
  <xdr:twoCellAnchor editAs="absolute">
    <xdr:from>
      <xdr:col>8</xdr:col>
      <xdr:colOff>260350</xdr:colOff>
      <xdr:row>7</xdr:row>
      <xdr:rowOff>95250</xdr:rowOff>
    </xdr:from>
    <xdr:to>
      <xdr:col>11</xdr:col>
      <xdr:colOff>12700</xdr:colOff>
      <xdr:row>9</xdr:row>
      <xdr:rowOff>6350</xdr:rowOff>
    </xdr:to>
    <xdr:sp macro="" textlink="">
      <xdr:nvSpPr>
        <xdr:cNvPr id="22" name="TextBox 21">
          <a:extLst>
            <a:ext uri="{FF2B5EF4-FFF2-40B4-BE49-F238E27FC236}">
              <a16:creationId xmlns:a16="http://schemas.microsoft.com/office/drawing/2014/main" id="{14C19838-8E3F-A75C-1D21-D136D22C0F20}"/>
            </a:ext>
          </a:extLst>
        </xdr:cNvPr>
        <xdr:cNvSpPr txBox="1"/>
      </xdr:nvSpPr>
      <xdr:spPr>
        <a:xfrm>
          <a:off x="5137150" y="1384300"/>
          <a:ext cx="15811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t>Patient Satisfaction Score</a:t>
          </a:r>
        </a:p>
        <a:p>
          <a:endParaRPr lang="en-IN" sz="1400"/>
        </a:p>
      </xdr:txBody>
    </xdr:sp>
    <xdr:clientData/>
  </xdr:twoCellAnchor>
  <xdr:twoCellAnchor editAs="oneCell">
    <xdr:from>
      <xdr:col>4</xdr:col>
      <xdr:colOff>279400</xdr:colOff>
      <xdr:row>5</xdr:row>
      <xdr:rowOff>152400</xdr:rowOff>
    </xdr:from>
    <xdr:to>
      <xdr:col>4</xdr:col>
      <xdr:colOff>552450</xdr:colOff>
      <xdr:row>7</xdr:row>
      <xdr:rowOff>57150</xdr:rowOff>
    </xdr:to>
    <xdr:pic>
      <xdr:nvPicPr>
        <xdr:cNvPr id="24" name="Graphic 23" descr="User">
          <a:extLst>
            <a:ext uri="{FF2B5EF4-FFF2-40B4-BE49-F238E27FC236}">
              <a16:creationId xmlns:a16="http://schemas.microsoft.com/office/drawing/2014/main" id="{CA096AE8-E1A3-1B20-21F6-98C94660FCD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17800" y="1073150"/>
          <a:ext cx="273050" cy="273050"/>
        </a:xfrm>
        <a:prstGeom prst="rect">
          <a:avLst/>
        </a:prstGeom>
      </xdr:spPr>
    </xdr:pic>
    <xdr:clientData/>
  </xdr:twoCellAnchor>
  <xdr:twoCellAnchor editAs="oneCell">
    <xdr:from>
      <xdr:col>7</xdr:col>
      <xdr:colOff>342900</xdr:colOff>
      <xdr:row>6</xdr:row>
      <xdr:rowOff>12700</xdr:rowOff>
    </xdr:from>
    <xdr:to>
      <xdr:col>7</xdr:col>
      <xdr:colOff>577850</xdr:colOff>
      <xdr:row>7</xdr:row>
      <xdr:rowOff>63500</xdr:rowOff>
    </xdr:to>
    <xdr:pic>
      <xdr:nvPicPr>
        <xdr:cNvPr id="26" name="Graphic 25" descr="Hourglass">
          <a:extLst>
            <a:ext uri="{FF2B5EF4-FFF2-40B4-BE49-F238E27FC236}">
              <a16:creationId xmlns:a16="http://schemas.microsoft.com/office/drawing/2014/main" id="{B245984B-6399-517C-8103-602A3C4E42C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10100" y="1117600"/>
          <a:ext cx="234950" cy="234950"/>
        </a:xfrm>
        <a:prstGeom prst="rect">
          <a:avLst/>
        </a:prstGeom>
      </xdr:spPr>
    </xdr:pic>
    <xdr:clientData/>
  </xdr:twoCellAnchor>
  <xdr:twoCellAnchor editAs="oneCell">
    <xdr:from>
      <xdr:col>10</xdr:col>
      <xdr:colOff>323850</xdr:colOff>
      <xdr:row>6</xdr:row>
      <xdr:rowOff>6350</xdr:rowOff>
    </xdr:from>
    <xdr:to>
      <xdr:col>10</xdr:col>
      <xdr:colOff>577850</xdr:colOff>
      <xdr:row>7</xdr:row>
      <xdr:rowOff>76200</xdr:rowOff>
    </xdr:to>
    <xdr:pic>
      <xdr:nvPicPr>
        <xdr:cNvPr id="28" name="Graphic 27" descr="Customer review">
          <a:extLst>
            <a:ext uri="{FF2B5EF4-FFF2-40B4-BE49-F238E27FC236}">
              <a16:creationId xmlns:a16="http://schemas.microsoft.com/office/drawing/2014/main" id="{28119250-5189-A08F-FA68-2C2DB76A1B4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19850" y="1111250"/>
          <a:ext cx="254000" cy="254000"/>
        </a:xfrm>
        <a:prstGeom prst="rect">
          <a:avLst/>
        </a:prstGeom>
      </xdr:spPr>
    </xdr:pic>
    <xdr:clientData/>
  </xdr:twoCellAnchor>
  <xdr:twoCellAnchor editAs="absolute">
    <xdr:from>
      <xdr:col>0</xdr:col>
      <xdr:colOff>444500</xdr:colOff>
      <xdr:row>6</xdr:row>
      <xdr:rowOff>12700</xdr:rowOff>
    </xdr:from>
    <xdr:to>
      <xdr:col>2</xdr:col>
      <xdr:colOff>95250</xdr:colOff>
      <xdr:row>24</xdr:row>
      <xdr:rowOff>107950</xdr:rowOff>
    </xdr:to>
    <mc:AlternateContent xmlns:mc="http://schemas.openxmlformats.org/markup-compatibility/2006">
      <mc:Choice xmlns:a14="http://schemas.microsoft.com/office/drawing/2010/main" Requires="a14">
        <xdr:graphicFrame macro="">
          <xdr:nvGraphicFramePr>
            <xdr:cNvPr id="31" name="Date (Month) 1">
              <a:extLst>
                <a:ext uri="{FF2B5EF4-FFF2-40B4-BE49-F238E27FC236}">
                  <a16:creationId xmlns:a16="http://schemas.microsoft.com/office/drawing/2014/main" id="{D7ED1DC5-A5C2-4C75-A6E9-A62993EDA44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444500" y="1117600"/>
              <a:ext cx="869950" cy="340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215900</xdr:colOff>
      <xdr:row>7</xdr:row>
      <xdr:rowOff>165100</xdr:rowOff>
    </xdr:from>
    <xdr:to>
      <xdr:col>5</xdr:col>
      <xdr:colOff>234950</xdr:colOff>
      <xdr:row>10</xdr:row>
      <xdr:rowOff>6350</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8C7096EA-B368-4F3B-A499-3C694ED05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298450</xdr:colOff>
      <xdr:row>6</xdr:row>
      <xdr:rowOff>153080</xdr:rowOff>
    </xdr:from>
    <xdr:to>
      <xdr:col>8</xdr:col>
      <xdr:colOff>95250</xdr:colOff>
      <xdr:row>10</xdr:row>
      <xdr:rowOff>139699</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CD93DC23-9AA7-43CF-93E8-BE88430AA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222249</xdr:colOff>
      <xdr:row>7</xdr:row>
      <xdr:rowOff>174949</xdr:rowOff>
    </xdr:from>
    <xdr:to>
      <xdr:col>11</xdr:col>
      <xdr:colOff>70554</xdr:colOff>
      <xdr:row>10</xdr:row>
      <xdr:rowOff>31749</xdr:rowOff>
    </xdr:to>
    <xdr:graphicFrame macro="">
      <xdr:nvGraphicFramePr>
        <xdr:cNvPr id="34" name="Chart 33">
          <a:hlinkClick xmlns:r="http://schemas.openxmlformats.org/officeDocument/2006/relationships" r:id="rId12"/>
          <a:extLst>
            <a:ext uri="{FF2B5EF4-FFF2-40B4-BE49-F238E27FC236}">
              <a16:creationId xmlns:a16="http://schemas.microsoft.com/office/drawing/2014/main" id="{775A346B-F544-4636-9BA2-DD7C7ADDE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466531</xdr:colOff>
          <xdr:row>11</xdr:row>
          <xdr:rowOff>45356</xdr:rowOff>
        </xdr:from>
        <xdr:to>
          <xdr:col>10</xdr:col>
          <xdr:colOff>510276</xdr:colOff>
          <xdr:row>15</xdr:row>
          <xdr:rowOff>45356</xdr:rowOff>
        </xdr:to>
        <xdr:pic>
          <xdr:nvPicPr>
            <xdr:cNvPr id="38" name="Picture 37">
              <a:extLst>
                <a:ext uri="{FF2B5EF4-FFF2-40B4-BE49-F238E27FC236}">
                  <a16:creationId xmlns:a16="http://schemas.microsoft.com/office/drawing/2014/main" id="{3F4DFFD3-D7F5-5911-4D38-13713D8DC1CD}"/>
                </a:ext>
              </a:extLst>
            </xdr:cNvPr>
            <xdr:cNvPicPr>
              <a:picLocks noChangeAspect="1" noChangeArrowheads="1"/>
              <a:extLst>
                <a:ext uri="{84589F7E-364E-4C9E-8A38-B11213B215E9}">
                  <a14:cameraTool cellRange="'Pivot Report'!$B$54:$E$56" spid="_x0000_s3088"/>
                </a:ext>
              </a:extLst>
            </xdr:cNvPicPr>
          </xdr:nvPicPr>
          <xdr:blipFill>
            <a:blip xmlns:r="http://schemas.openxmlformats.org/officeDocument/2006/relationships" r:embed="rId14"/>
            <a:srcRect/>
            <a:stretch>
              <a:fillRect/>
            </a:stretch>
          </xdr:blipFill>
          <xdr:spPr bwMode="auto">
            <a:xfrm>
              <a:off x="1684694" y="2041070"/>
              <a:ext cx="4916398" cy="7257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77754</xdr:colOff>
      <xdr:row>16</xdr:row>
      <xdr:rowOff>64795</xdr:rowOff>
    </xdr:from>
    <xdr:to>
      <xdr:col>10</xdr:col>
      <xdr:colOff>447092</xdr:colOff>
      <xdr:row>25</xdr:row>
      <xdr:rowOff>6480</xdr:rowOff>
    </xdr:to>
    <xdr:graphicFrame macro="">
      <xdr:nvGraphicFramePr>
        <xdr:cNvPr id="39" name="Chart 38">
          <a:extLst>
            <a:ext uri="{FF2B5EF4-FFF2-40B4-BE49-F238E27FC236}">
              <a16:creationId xmlns:a16="http://schemas.microsoft.com/office/drawing/2014/main" id="{3DBF78F5-C873-4CD6-977F-31B820E94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5</xdr:col>
      <xdr:colOff>233265</xdr:colOff>
      <xdr:row>23</xdr:row>
      <xdr:rowOff>174949</xdr:rowOff>
    </xdr:from>
    <xdr:to>
      <xdr:col>9</xdr:col>
      <xdr:colOff>45357</xdr:colOff>
      <xdr:row>25</xdr:row>
      <xdr:rowOff>12959</xdr:rowOff>
    </xdr:to>
    <xdr:sp macro="" textlink="">
      <xdr:nvSpPr>
        <xdr:cNvPr id="40" name="TextBox 39">
          <a:extLst>
            <a:ext uri="{FF2B5EF4-FFF2-40B4-BE49-F238E27FC236}">
              <a16:creationId xmlns:a16="http://schemas.microsoft.com/office/drawing/2014/main" id="{FD0ABC45-FFCC-0FCE-97DD-3E76B9DBD3D7}"/>
            </a:ext>
          </a:extLst>
        </xdr:cNvPr>
        <xdr:cNvSpPr txBox="1"/>
      </xdr:nvSpPr>
      <xdr:spPr>
        <a:xfrm>
          <a:off x="3278673" y="4347806"/>
          <a:ext cx="2248419" cy="200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No.</a:t>
          </a:r>
          <a:r>
            <a:rPr lang="en-IN" sz="900" b="1" baseline="0"/>
            <a:t> of Patient by Age Group</a:t>
          </a:r>
        </a:p>
        <a:p>
          <a:endParaRPr lang="en-IN" sz="1100"/>
        </a:p>
      </xdr:txBody>
    </xdr:sp>
    <xdr:clientData/>
  </xdr:twoCellAnchor>
  <xdr:twoCellAnchor>
    <xdr:from>
      <xdr:col>11</xdr:col>
      <xdr:colOff>343678</xdr:colOff>
      <xdr:row>1</xdr:row>
      <xdr:rowOff>70756</xdr:rowOff>
    </xdr:from>
    <xdr:to>
      <xdr:col>14</xdr:col>
      <xdr:colOff>355082</xdr:colOff>
      <xdr:row>11</xdr:row>
      <xdr:rowOff>57798</xdr:rowOff>
    </xdr:to>
    <xdr:graphicFrame macro="">
      <xdr:nvGraphicFramePr>
        <xdr:cNvPr id="41" name="Chart 40">
          <a:extLst>
            <a:ext uri="{FF2B5EF4-FFF2-40B4-BE49-F238E27FC236}">
              <a16:creationId xmlns:a16="http://schemas.microsoft.com/office/drawing/2014/main" id="{E45B00C4-5CDC-4934-B88D-1E0A52904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15</xdr:col>
      <xdr:colOff>285102</xdr:colOff>
      <xdr:row>1</xdr:row>
      <xdr:rowOff>142551</xdr:rowOff>
    </xdr:from>
    <xdr:to>
      <xdr:col>18</xdr:col>
      <xdr:colOff>252704</xdr:colOff>
      <xdr:row>10</xdr:row>
      <xdr:rowOff>38878</xdr:rowOff>
    </xdr:to>
    <xdr:graphicFrame macro="">
      <xdr:nvGraphicFramePr>
        <xdr:cNvPr id="44" name="Chart 43">
          <a:extLst>
            <a:ext uri="{FF2B5EF4-FFF2-40B4-BE49-F238E27FC236}">
              <a16:creationId xmlns:a16="http://schemas.microsoft.com/office/drawing/2014/main" id="{997D0BC4-C43A-4BFE-86EC-7557CB9B1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408215</xdr:colOff>
      <xdr:row>10</xdr:row>
      <xdr:rowOff>12959</xdr:rowOff>
    </xdr:from>
    <xdr:to>
      <xdr:col>18</xdr:col>
      <xdr:colOff>110153</xdr:colOff>
      <xdr:row>11</xdr:row>
      <xdr:rowOff>32398</xdr:rowOff>
    </xdr:to>
    <xdr:sp macro="" textlink="">
      <xdr:nvSpPr>
        <xdr:cNvPr id="45" name="TextBox 44">
          <a:extLst>
            <a:ext uri="{FF2B5EF4-FFF2-40B4-BE49-F238E27FC236}">
              <a16:creationId xmlns:a16="http://schemas.microsoft.com/office/drawing/2014/main" id="{F2036E64-489B-B669-E4A1-7FD209594D58}"/>
            </a:ext>
          </a:extLst>
        </xdr:cNvPr>
        <xdr:cNvSpPr txBox="1"/>
      </xdr:nvSpPr>
      <xdr:spPr>
        <a:xfrm>
          <a:off x="9544439" y="1827245"/>
          <a:ext cx="1529183" cy="200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Gender</a:t>
          </a:r>
          <a:r>
            <a:rPr lang="en-IN" sz="900" b="1" baseline="0"/>
            <a:t> Wise Analysis</a:t>
          </a:r>
          <a:endParaRPr lang="en-IN" sz="900" b="1"/>
        </a:p>
      </xdr:txBody>
    </xdr:sp>
    <xdr:clientData/>
  </xdr:twoCellAnchor>
  <xdr:twoCellAnchor editAs="absolute">
    <xdr:from>
      <xdr:col>11</xdr:col>
      <xdr:colOff>453831</xdr:colOff>
      <xdr:row>13</xdr:row>
      <xdr:rowOff>95250</xdr:rowOff>
    </xdr:from>
    <xdr:to>
      <xdr:col>18</xdr:col>
      <xdr:colOff>152400</xdr:colOff>
      <xdr:row>23</xdr:row>
      <xdr:rowOff>107950</xdr:rowOff>
    </xdr:to>
    <xdr:graphicFrame macro="">
      <xdr:nvGraphicFramePr>
        <xdr:cNvPr id="46" name="Chart 45">
          <a:extLst>
            <a:ext uri="{FF2B5EF4-FFF2-40B4-BE49-F238E27FC236}">
              <a16:creationId xmlns:a16="http://schemas.microsoft.com/office/drawing/2014/main" id="{10EE9869-93CE-4872-802D-BAEDCDD58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584200</xdr:colOff>
      <xdr:row>23</xdr:row>
      <xdr:rowOff>146050</xdr:rowOff>
    </xdr:from>
    <xdr:to>
      <xdr:col>18</xdr:col>
      <xdr:colOff>126999</xdr:colOff>
      <xdr:row>24</xdr:row>
      <xdr:rowOff>159398</xdr:rowOff>
    </xdr:to>
    <xdr:sp macro="" textlink="">
      <xdr:nvSpPr>
        <xdr:cNvPr id="47" name="TextBox 46">
          <a:extLst>
            <a:ext uri="{FF2B5EF4-FFF2-40B4-BE49-F238E27FC236}">
              <a16:creationId xmlns:a16="http://schemas.microsoft.com/office/drawing/2014/main" id="{D573AF95-6281-60EF-F023-B2EDE2B8BBF8}"/>
            </a:ext>
          </a:extLst>
        </xdr:cNvPr>
        <xdr:cNvSpPr txBox="1"/>
      </xdr:nvSpPr>
      <xdr:spPr>
        <a:xfrm>
          <a:off x="7289800" y="4381500"/>
          <a:ext cx="3809999" cy="19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No.</a:t>
          </a:r>
          <a:r>
            <a:rPr lang="en-IN" sz="900" b="1" baseline="0"/>
            <a:t> of Patient By Department Referal</a:t>
          </a:r>
          <a:endParaRPr lang="en-IN" sz="900" b="1"/>
        </a:p>
      </xdr:txBody>
    </xdr:sp>
    <xdr:clientData/>
  </xdr:twoCellAnchor>
  <xdr:twoCellAnchor editAs="oneCell">
    <xdr:from>
      <xdr:col>7</xdr:col>
      <xdr:colOff>517071</xdr:colOff>
      <xdr:row>2</xdr:row>
      <xdr:rowOff>16329</xdr:rowOff>
    </xdr:from>
    <xdr:to>
      <xdr:col>10</xdr:col>
      <xdr:colOff>517071</xdr:colOff>
      <xdr:row>4</xdr:row>
      <xdr:rowOff>69850</xdr:rowOff>
    </xdr:to>
    <mc:AlternateContent xmlns:mc="http://schemas.openxmlformats.org/markup-compatibility/2006">
      <mc:Choice xmlns:a14="http://schemas.microsoft.com/office/drawing/2010/main" Requires="a14">
        <xdr:graphicFrame macro="">
          <xdr:nvGraphicFramePr>
            <xdr:cNvPr id="48" name="Date (Year) 1">
              <a:extLst>
                <a:ext uri="{FF2B5EF4-FFF2-40B4-BE49-F238E27FC236}">
                  <a16:creationId xmlns:a16="http://schemas.microsoft.com/office/drawing/2014/main" id="{55290456-2256-4F86-A946-8D82E4189D3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784271" y="384629"/>
              <a:ext cx="1828800" cy="421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0.16479</cdr:x>
      <cdr:y>0.87407</cdr:y>
    </cdr:from>
    <cdr:to>
      <cdr:x>0.90837</cdr:x>
      <cdr:y>0.95185</cdr:y>
    </cdr:to>
    <cdr:sp macro="" textlink="">
      <cdr:nvSpPr>
        <cdr:cNvPr id="2" name="TextBox 1">
          <a:extLst xmlns:a="http://schemas.openxmlformats.org/drawingml/2006/main">
            <a:ext uri="{FF2B5EF4-FFF2-40B4-BE49-F238E27FC236}">
              <a16:creationId xmlns:a16="http://schemas.microsoft.com/office/drawing/2014/main" id="{D00C9A83-F6F4-06C7-8F29-E31ED53808FB}"/>
            </a:ext>
          </a:extLst>
        </cdr:cNvPr>
        <cdr:cNvSpPr txBox="1"/>
      </cdr:nvSpPr>
      <cdr:spPr>
        <a:xfrm xmlns:a="http://schemas.openxmlformats.org/drawingml/2006/main">
          <a:off x="302985" y="1529184"/>
          <a:ext cx="1367194" cy="1360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0.14364</cdr:x>
      <cdr:y>0.86691</cdr:y>
    </cdr:from>
    <cdr:to>
      <cdr:x>0.91542</cdr:x>
      <cdr:y>0.98519</cdr:y>
    </cdr:to>
    <cdr:sp macro="" textlink="">
      <cdr:nvSpPr>
        <cdr:cNvPr id="3" name="TextBox 2">
          <a:extLst xmlns:a="http://schemas.openxmlformats.org/drawingml/2006/main">
            <a:ext uri="{FF2B5EF4-FFF2-40B4-BE49-F238E27FC236}">
              <a16:creationId xmlns:a16="http://schemas.microsoft.com/office/drawing/2014/main" id="{6FDBF6B0-67AE-7541-CCBE-E55C89950B2F}"/>
            </a:ext>
          </a:extLst>
        </cdr:cNvPr>
        <cdr:cNvSpPr txBox="1"/>
      </cdr:nvSpPr>
      <cdr:spPr>
        <a:xfrm xmlns:a="http://schemas.openxmlformats.org/drawingml/2006/main">
          <a:off x="264108" y="1561583"/>
          <a:ext cx="1419030" cy="2130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b="1" kern="1200"/>
            <a:t>Patient Attend Status</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565150</xdr:colOff>
      <xdr:row>14</xdr:row>
      <xdr:rowOff>127000</xdr:rowOff>
    </xdr:to>
    <xdr:graphicFrame macro="">
      <xdr:nvGraphicFramePr>
        <xdr:cNvPr id="4" name="Chart 3">
          <a:hlinkClick xmlns:r="http://schemas.openxmlformats.org/officeDocument/2006/relationships" r:id="rId1"/>
          <a:extLst>
            <a:ext uri="{FF2B5EF4-FFF2-40B4-BE49-F238E27FC236}">
              <a16:creationId xmlns:a16="http://schemas.microsoft.com/office/drawing/2014/main" id="{C7DB3F3C-6639-44E3-94CD-9FEA7331F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158750</xdr:colOff>
      <xdr:row>0</xdr:row>
      <xdr:rowOff>107950</xdr:rowOff>
    </xdr:from>
    <xdr:to>
      <xdr:col>1</xdr:col>
      <xdr:colOff>146050</xdr:colOff>
      <xdr:row>3</xdr:row>
      <xdr:rowOff>152400</xdr:rowOff>
    </xdr:to>
    <xdr:pic>
      <xdr:nvPicPr>
        <xdr:cNvPr id="6" name="Graphic 5" descr="Home">
          <a:hlinkClick xmlns:r="http://schemas.openxmlformats.org/officeDocument/2006/relationships" r:id="rId3"/>
          <a:extLst>
            <a:ext uri="{FF2B5EF4-FFF2-40B4-BE49-F238E27FC236}">
              <a16:creationId xmlns:a16="http://schemas.microsoft.com/office/drawing/2014/main" id="{BED4ADBB-4832-280E-4506-38EF89C5765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8750" y="107950"/>
          <a:ext cx="596900" cy="596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209550</xdr:colOff>
      <xdr:row>1</xdr:row>
      <xdr:rowOff>63500</xdr:rowOff>
    </xdr:from>
    <xdr:to>
      <xdr:col>14</xdr:col>
      <xdr:colOff>285750</xdr:colOff>
      <xdr:row>16</xdr:row>
      <xdr:rowOff>139700</xdr:rowOff>
    </xdr:to>
    <xdr:graphicFrame macro="">
      <xdr:nvGraphicFramePr>
        <xdr:cNvPr id="2" name="Chart 1">
          <a:extLst>
            <a:ext uri="{FF2B5EF4-FFF2-40B4-BE49-F238E27FC236}">
              <a16:creationId xmlns:a16="http://schemas.microsoft.com/office/drawing/2014/main" id="{135C5BFB-BC48-42AF-82BD-703646CF3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0.02802</cdr:x>
      <cdr:y>0.05369</cdr:y>
    </cdr:from>
    <cdr:to>
      <cdr:x>0.09808</cdr:x>
      <cdr:y>0.26622</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2E3E848-9D93-3218-C12B-076DF94A5C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41300" y="152400"/>
          <a:ext cx="603250" cy="6032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209550</xdr:colOff>
      <xdr:row>0</xdr:row>
      <xdr:rowOff>95250</xdr:rowOff>
    </xdr:from>
    <xdr:to>
      <xdr:col>16</xdr:col>
      <xdr:colOff>412750</xdr:colOff>
      <xdr:row>17</xdr:row>
      <xdr:rowOff>107950</xdr:rowOff>
    </xdr:to>
    <xdr:graphicFrame macro="">
      <xdr:nvGraphicFramePr>
        <xdr:cNvPr id="2" name="Chart 1">
          <a:extLst>
            <a:ext uri="{FF2B5EF4-FFF2-40B4-BE49-F238E27FC236}">
              <a16:creationId xmlns:a16="http://schemas.microsoft.com/office/drawing/2014/main" id="{D1319E1D-D44B-4EE8-B738-5E875A374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387350</xdr:colOff>
      <xdr:row>0</xdr:row>
      <xdr:rowOff>120650</xdr:rowOff>
    </xdr:from>
    <xdr:to>
      <xdr:col>2</xdr:col>
      <xdr:colOff>425450</xdr:colOff>
      <xdr:row>4</xdr:row>
      <xdr:rowOff>31750</xdr:rowOff>
    </xdr:to>
    <xdr:pic>
      <xdr:nvPicPr>
        <xdr:cNvPr id="4" name="Graphic 3" descr="Home">
          <a:hlinkClick xmlns:r="http://schemas.openxmlformats.org/officeDocument/2006/relationships" r:id="rId2"/>
          <a:extLst>
            <a:ext uri="{FF2B5EF4-FFF2-40B4-BE49-F238E27FC236}">
              <a16:creationId xmlns:a16="http://schemas.microsoft.com/office/drawing/2014/main" id="{371D4AB1-06DC-F0C8-5F91-5BE84A8333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6950" y="120650"/>
          <a:ext cx="647700" cy="6477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013889" createdVersion="5" refreshedVersion="8" minRefreshableVersion="3" recordCount="0" supportSubquery="1" supportAdvancedDrill="1" xr:uid="{32D05D16-B773-4A86-A3A6-06DF093B7073}">
  <cacheSource type="external" connectionId="3"/>
  <cacheFields count="4">
    <cacheField name="[Measures].[Distinct Count of Patient Id]" caption="Distinct Count of Patient Id" numFmtId="0" hierarchy="29" level="32767"/>
    <cacheField name="[Calenda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0486113" createdVersion="5" refreshedVersion="8" minRefreshableVersion="3" recordCount="0" supportSubquery="1" supportAdvancedDrill="1" xr:uid="{C495FF3A-AE25-460D-9734-F487A6CF60AB}">
  <cacheSource type="external" connectionId="3"/>
  <cacheFields count="3">
    <cacheField name="[Measures].[Count of Patient Id]" caption="Count of Patient Id" numFmtId="0" hierarchy="23"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071759" createdVersion="5" refreshedVersion="8" minRefreshableVersion="3" recordCount="0" supportSubquery="1" supportAdvancedDrill="1" xr:uid="{94644CA9-3427-40E6-8FE3-C7A5133C334D}">
  <cacheSource type="external" connectionId="3"/>
  <cacheFields count="3">
    <cacheField name="[Measures].[Average of Patient Waittime]" caption="Average of Patient Waittime" numFmtId="0" hierarchy="25"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071759" createdVersion="5" refreshedVersion="8" minRefreshableVersion="3" recordCount="0" supportSubquery="1" supportAdvancedDrill="1" xr:uid="{24B3AA17-FA5A-488A-8C4F-542063E6D6D5}">
  <cacheSource type="external" connectionId="3"/>
  <cacheFields count="3">
    <cacheField name="[Measures].[Average of Patient Satisfaction Score]" caption="Average of Patient Satisfaction Score" numFmtId="0" hierarchy="27"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1296298" createdVersion="5" refreshedVersion="8" minRefreshableVersion="3" recordCount="0" supportSubquery="1" supportAdvancedDrill="1" xr:uid="{D2123B9D-5BE8-42CD-8B3C-B8430A62904A}">
  <cacheSource type="external" connectionId="3"/>
  <cacheFields count="4">
    <cacheField name="[Calenda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1874999" createdVersion="5" refreshedVersion="8" minRefreshableVersion="3" recordCount="0" supportSubquery="1" supportAdvancedDrill="1" xr:uid="{4628DF71-B9E2-40FA-9101-E4EC3FB88101}">
  <cacheSource type="external" connectionId="3"/>
  <cacheFields count="4">
    <cacheField name="[Calenda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2337961" createdVersion="5" refreshedVersion="8" minRefreshableVersion="3" recordCount="0" supportSubquery="1" supportAdvancedDrill="1" xr:uid="{F21F48AF-9ABE-4D28-A031-9D2A64C2B8A4}">
  <cacheSource type="external" connectionId="3"/>
  <cacheFields count="5">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2916669" createdVersion="5" refreshedVersion="8" minRefreshableVersion="3" recordCount="0" supportSubquery="1" supportAdvancedDrill="1" xr:uid="{39009E41-3946-4375-98B2-D36B6456ED5F}">
  <cacheSource type="external" connectionId="3"/>
  <cacheFields count="4">
    <cacheField name="[Calendar_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3495369" createdVersion="5" refreshedVersion="8" minRefreshableVersion="3" recordCount="0" supportSubquery="1" supportAdvancedDrill="1" xr:uid="{5CD8D4CE-555C-4F9D-96C9-494FFFA1687D}">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3842592" createdVersion="5" refreshedVersion="8" minRefreshableVersion="3" recordCount="0" supportSubquery="1" supportAdvancedDrill="1" xr:uid="{901655BA-D819-4D21-962C-A3445BCC2B4F}">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4189816" createdVersion="5" refreshedVersion="8" minRefreshableVersion="3" recordCount="0" supportSubquery="1" supportAdvancedDrill="1" xr:uid="{AC212B43-286D-40D2-87B7-C65C2D7CE1A2}">
  <cacheSource type="external" connectionId="3"/>
  <cacheFields count="4">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901824537039" createdVersion="5" refreshedVersion="8" minRefreshableVersion="3" recordCount="0" supportSubquery="1" supportAdvancedDrill="1" xr:uid="{AACF4744-52E5-4191-A279-65B8C9191243}">
  <cacheSource type="external" connectionId="3"/>
  <cacheFields count="4">
    <cacheField name="[Calendar_Table].[Date (Month)].[Date (Month)]" caption="Date (Month)" numFmtId="0" hierarchy="3" level="1">
      <sharedItems count="1">
        <s v="Jun"/>
      </sharedItems>
    </cacheField>
    <cacheField name="[Calendar_Table].[Date (Year)].[Date (Year)]" caption="Date (Year)" numFmtId="0" hierarchy="1" level="1">
      <sharedItems count="1">
        <s v="2023"/>
      </sharedItems>
    </cacheField>
    <cacheField name="[Calendar_Table].[Date (Quarter)].[Date (Quarter)]" caption="Date (Quarter)" numFmtId="0" hierarchy="2" level="1">
      <sharedItems count="1">
        <s v="Qtr2"/>
      </sharedItems>
    </cacheField>
    <cacheField name="[Calendar_Table].[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757066087965" createdVersion="3" refreshedVersion="8" minRefreshableVersion="3" recordCount="0" supportSubquery="1" supportAdvancedDrill="1" xr:uid="{6FE71A9F-71DC-40FF-A414-C6DD5E860616}">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3811588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khi bajwa" refreshedDate="46226.89984027778" createdVersion="3" refreshedVersion="8" minRefreshableVersion="3" recordCount="0" supportSubquery="1" supportAdvancedDrill="1" xr:uid="{8E311275-EF0D-4B10-A724-CE948DC93B0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20423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76FBF5-0104-4E42-BBCA-6061EC72A868}" name="PivotTable18" cacheId="2481" applyNumberFormats="0" applyBorderFormats="0" applyFontFormats="0" applyPatternFormats="0" applyAlignmentFormats="0" applyWidthHeightFormats="1" dataCaption="Values" tag="2b3cec93-a343-44d1-9124-432b00a81e0e" updatedVersion="8" minRefreshableVersion="3" subtotalHiddenItems="1" itemPrintTitles="1" createdVersion="5" indent="0" outline="1" outlineData="1" multipleFieldFilters="0" chartFormat="41">
  <location ref="E85:E119"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4">
    <field x="1"/>
    <field x="2"/>
    <field x="0"/>
    <field x="3"/>
  </rowFields>
  <rowItems count="34">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t="grand">
      <x/>
    </i>
  </rowItems>
  <formats count="1">
    <format dxfId="267">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A49B0A-54EA-4246-B86B-2002F5262FFB}" name="PivotTable17" cacheId="2478" applyNumberFormats="0" applyBorderFormats="0" applyFontFormats="0" applyPatternFormats="0" applyAlignmentFormats="0" applyWidthHeightFormats="1" dataCaption="Values" tag="063344c4-d7cd-413e-b03b-b411f47a04ea" updatedVersion="8" minRefreshableVersion="3" subtotalHiddenItems="1" itemPrintTitles="1" createdVersion="5" indent="0" outline="1" outlineData="1" multipleFieldFilters="0" chartFormat="41">
  <location ref="B77:C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
    <format dxfId="268">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C93AC-AF69-4A39-AB6E-B8C6BABA47DC}" name="PivotTable16" cacheId="2475" applyNumberFormats="0" applyBorderFormats="0" applyFontFormats="0" applyPatternFormats="0" applyAlignmentFormats="0" applyWidthHeightFormats="1" dataCaption="Values" tag="aeefa819-6b71-4322-9f73-8fdfadadb1d2" updatedVersion="8" minRefreshableVersion="3" subtotalHiddenItems="1" itemPrintTitles="1" createdVersion="5" indent="0" outline="1" outlineData="1" multipleFieldFilters="0" chartFormat="49">
  <location ref="F68:G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69">
      <pivotArea outline="0" collapsedLevelsAreSubtotals="1" fieldPosition="0"/>
    </format>
  </formats>
  <chartFormats count="3">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1" count="1" selected="0">
            <x v="0"/>
          </reference>
        </references>
      </pivotArea>
    </chartFormat>
    <chartFormat chart="4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05B57-C3EA-4517-B689-50F2AAB9781E}" name="PivotTable15" cacheId="2472" applyNumberFormats="0" applyBorderFormats="0" applyFontFormats="0" applyPatternFormats="0" applyAlignmentFormats="0" applyWidthHeightFormats="1" dataCaption="Values" tag="ac4ca0c4-7b66-4f2b-9807-f2423e61ca25" updatedVersion="8" minRefreshableVersion="3" subtotalHiddenItems="1" itemPrintTitles="1" createdVersion="5" indent="0" outline="1" outlineData="1" multipleFieldFilters="0" chartFormat="44">
  <location ref="E61:F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70">
      <pivotArea outline="0" collapsedLevelsAreSubtotals="1" fieldPosition="0"/>
    </format>
  </formats>
  <chartFormats count="3">
    <chartFormat chart="41" format="6" series="1">
      <pivotArea type="data" outline="0" fieldPosition="0">
        <references count="1">
          <reference field="4294967294" count="1" selected="0">
            <x v="0"/>
          </reference>
        </references>
      </pivotArea>
    </chartFormat>
    <chartFormat chart="41" format="7">
      <pivotArea type="data" outline="0" fieldPosition="0">
        <references count="2">
          <reference field="4294967294" count="1" selected="0">
            <x v="0"/>
          </reference>
          <reference field="1" count="1" selected="0">
            <x v="0"/>
          </reference>
        </references>
      </pivotArea>
    </chartFormat>
    <chartFormat chart="41"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396A2-503B-4343-95E3-71D718ED0FA5}" name="PivotTable14" cacheId="2469" applyNumberFormats="0" applyBorderFormats="0" applyFontFormats="0" applyPatternFormats="0" applyAlignmentFormats="0" applyWidthHeightFormats="1" dataCaption="Values" tag="9a03edf4-7c6f-4399-b755-46f8f32e9185" updatedVersion="8" minRefreshableVersion="3" subtotalHiddenItems="1" itemPrintTitles="1" createdVersion="5" indent="0" outline="1" outlineData="1" multipleFieldFilters="0" chartFormat="37">
  <location ref="B61:C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272">
      <pivotArea collapsedLevelsAreSubtotals="1" fieldPosition="0">
        <references count="1">
          <reference field="1" count="1">
            <x v="0"/>
          </reference>
        </references>
      </pivotArea>
    </format>
    <format dxfId="271">
      <pivotArea outline="0" collapsedLevelsAreSubtotals="1" fieldPosition="0"/>
    </format>
  </formats>
  <chartFormats count="1">
    <chartFormat chart="3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D05745-9E94-4616-A166-E7E60E4A95E6}" name="PivotTable12" cacheId="2466" applyNumberFormats="0" applyBorderFormats="0" applyFontFormats="0" applyPatternFormats="0" applyAlignmentFormats="0" applyWidthHeightFormats="1" dataCaption="Values" tag="eaa798ca-514b-4c57-96e3-327ea6cef036" updatedVersion="8" minRefreshableVersion="3" subtotalHiddenItems="1" itemPrintTitles="1" createdVersion="5" indent="0" outline="1" outlineData="1" multipleFieldFilters="0" chartFormat="33">
  <location ref="B45:D4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9">
      <extLst>
        <ext xmlns:x14="http://schemas.microsoft.com/office/spreadsheetml/2009/9/main" uri="{E15A36E0-9728-4e99-A89B-3F7291B0FE68}">
          <x14:dataField sourceField="2" uniqueName="[__Xl2].[Measures].[Count of Patient Admission Flag]"/>
        </ext>
      </extLst>
    </dataField>
  </dataFields>
  <formats count="6">
    <format dxfId="278">
      <pivotArea outline="0" collapsedLevelsAreSubtotals="1" fieldPosition="0"/>
    </format>
    <format dxfId="277">
      <pivotArea outline="0" collapsedLevelsAreSubtotals="1" fieldPosition="0">
        <references count="1">
          <reference field="4294967294" count="1" selected="0">
            <x v="1"/>
          </reference>
        </references>
      </pivotArea>
    </format>
    <format dxfId="276">
      <pivotArea collapsedLevelsAreSubtotals="1" fieldPosition="0">
        <references count="2">
          <reference field="4294967294" count="1" selected="0">
            <x v="0"/>
          </reference>
          <reference field="1" count="1">
            <x v="0"/>
          </reference>
        </references>
      </pivotArea>
    </format>
    <format dxfId="275">
      <pivotArea collapsedLevelsAreSubtotals="1" fieldPosition="0">
        <references count="2">
          <reference field="4294967294" count="1" selected="0">
            <x v="0"/>
          </reference>
          <reference field="1" count="1">
            <x v="1"/>
          </reference>
        </references>
      </pivotArea>
    </format>
    <format dxfId="274">
      <pivotArea field="1" grandRow="1" outline="0" collapsedLevelsAreSubtotals="1" axis="axisRow" fieldPosition="0">
        <references count="1">
          <reference field="4294967294" count="1" selected="0">
            <x v="0"/>
          </reference>
        </references>
      </pivotArea>
    </format>
    <format dxfId="273">
      <pivotArea dataOnly="0"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44AE39-2FE5-4BB5-BE85-C840118C526B}" name="PivotTable10" cacheId="2463" applyNumberFormats="0" applyBorderFormats="0" applyFontFormats="0" applyPatternFormats="0" applyAlignmentFormats="0" applyWidthHeightFormats="1" dataCaption="Values" tag="94d5d92a-f882-4fe7-a234-d0e451d39848" updatedVersion="8" minRefreshableVersion="3" subtotalHiddenItems="1" itemPrintTitles="1" createdVersion="5" indent="0" outline="1" outlineData="1" multipleFieldFilters="0" chartFormat="38">
  <location ref="M7:N38" firstHeaderRow="1" firstDataRow="1" firstDataCol="1"/>
  <pivotFields count="4">
    <pivotField axis="axisRow" allDrilled="1" subtotalTop="0" showAll="0" sortType="ascending" defaultSubtotal="0" defaultAttributeDrillState="1">
      <items count="30">
        <item x="9"/>
        <item x="10"/>
        <item x="11"/>
        <item x="12"/>
        <item x="13"/>
        <item x="14"/>
        <item x="15"/>
        <item x="16"/>
        <item x="17"/>
        <item x="18"/>
        <item x="0"/>
        <item x="19"/>
        <item x="20"/>
        <item x="21"/>
        <item x="22"/>
        <item x="23"/>
        <item x="24"/>
        <item x="25"/>
        <item x="26"/>
        <item x="27"/>
        <item x="28"/>
        <item x="1"/>
        <item x="29"/>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79">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323B0C-7B19-4731-9580-5CDC0FFF658D}" name="PivotTable9" cacheId="2460" applyNumberFormats="0" applyBorderFormats="0" applyFontFormats="0" applyPatternFormats="0" applyAlignmentFormats="0" applyWidthHeightFormats="1" dataCaption="Values" tag="38639edd-5b01-4942-8dab-520b8ea5cbb1" updatedVersion="8" minRefreshableVersion="3" subtotalHiddenItems="1" itemPrintTitles="1" createdVersion="5" indent="0" outline="1" outlineData="1" multipleFieldFilters="0" chartFormat="23">
  <location ref="H7:I38" firstHeaderRow="1" firstDataRow="1" firstDataCol="1"/>
  <pivotFields count="4">
    <pivotField axis="axisRow" allDrilled="1" subtotalTop="0" showAll="0" sortType="ascending" defaultSubtotal="0" defaultAttributeDrillState="1">
      <items count="30">
        <item x="9"/>
        <item x="10"/>
        <item x="11"/>
        <item x="12"/>
        <item x="13"/>
        <item x="14"/>
        <item x="15"/>
        <item x="16"/>
        <item x="17"/>
        <item x="18"/>
        <item x="0"/>
        <item x="19"/>
        <item x="20"/>
        <item x="21"/>
        <item x="22"/>
        <item x="23"/>
        <item x="24"/>
        <item x="25"/>
        <item x="26"/>
        <item x="27"/>
        <item x="28"/>
        <item x="1"/>
        <item x="29"/>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80">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7E8AED-4351-4974-9A18-1548134EB789}" name="PivotTable7" cacheId="2448" applyNumberFormats="0" applyBorderFormats="0" applyFontFormats="0" applyPatternFormats="0" applyAlignmentFormats="0" applyWidthHeightFormats="1" dataCaption="Values" tag="cf358f79-e397-4783-9c38-c4923be9750d" updatedVersion="8" minRefreshableVersion="3" subtotalHiddenItems="1" itemPrintTitles="1" createdVersion="5" indent="0" outline="1" outlineData="1" multipleFieldFilters="0" chartFormat="7">
  <location ref="D7:E38" firstHeaderRow="1" firstDataRow="1" firstDataCol="1"/>
  <pivotFields count="4">
    <pivotField dataField="1" subtotalTop="0" showAll="0" defaultSubtotal="0"/>
    <pivotField axis="axisRow" allDrilled="1" subtotalTop="0" showAll="0" sortType="ascending" defaultSubtotal="0" defaultAttributeDrillState="1">
      <items count="30">
        <item x="9"/>
        <item x="10"/>
        <item x="11"/>
        <item x="12"/>
        <item x="13"/>
        <item x="14"/>
        <item x="15"/>
        <item x="16"/>
        <item x="17"/>
        <item x="18"/>
        <item x="0"/>
        <item x="19"/>
        <item x="20"/>
        <item x="21"/>
        <item x="22"/>
        <item x="23"/>
        <item x="24"/>
        <item x="25"/>
        <item x="26"/>
        <item x="27"/>
        <item x="28"/>
        <item x="1"/>
        <item x="29"/>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E8FD7D-F7E4-4BA7-8CC4-276DC2D7CFCD}" name="PivotTable3" cacheId="2457" applyNumberFormats="0" applyBorderFormats="0" applyFontFormats="0" applyPatternFormats="0" applyAlignmentFormats="0" applyWidthHeightFormats="1" dataCaption="Values" tag="96e5d4f5-6957-4c1a-aa8c-835fd6d03581" updatedVersion="8" minRefreshableVersion="3" subtotalHiddenItems="1" itemPrintTitles="1" createdVersion="5" indent="0" outline="1" outlineData="1" multipleFieldFilters="0">
  <location ref="B14:B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2" fld="0" subtotal="average" baseField="0" baseItem="0" numFmtId="2"/>
  </dataFields>
  <formats count="1">
    <format dxfId="286">
      <pivotArea outline="0" collapsedLevelsAreSubtotals="1" fieldPosition="0"/>
    </format>
  </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3154F8-C62B-487C-90BE-C341CF1EFC5C}" name="PivotTable2" cacheId="2454" applyNumberFormats="0" applyBorderFormats="0" applyFontFormats="0" applyPatternFormats="0" applyAlignmentFormats="0" applyWidthHeightFormats="1" dataCaption="Values" tag="39a8314e-3a05-4438-beeb-d9fd4e7b03da"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85">
      <pivotArea outline="0" collapsedLevelsAreSubtotals="1" fieldPosition="0"/>
    </format>
  </format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E6C67C-7C9B-4B15-8E65-875830C7A324}" name="PivotTable1" cacheId="2451" applyNumberFormats="0" applyBorderFormats="0" applyFontFormats="0" applyPatternFormats="0" applyAlignmentFormats="0" applyWidthHeightFormats="1" dataCaption="Values" tag="02e965c8-aea6-47ec-be23-c332c091291b" updatedVersion="8"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6">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B92E16F-81E2-4077-A476-D540C6DB0548}" sourceName="[Calendar_Table].[Date (Month)]">
  <pivotTables>
    <pivotTable tabId="1" name="PivotTable7"/>
    <pivotTable tabId="1" name="PivotTable1"/>
    <pivotTable tabId="1" name="PivotTable2"/>
    <pivotTable tabId="1" name="PivotTable3"/>
    <pivotTable tabId="1" name="PivotTable9"/>
    <pivotTable tabId="1" name="PivotTable10"/>
    <pivotTable tabId="1" name="PivotTable12"/>
    <pivotTable tabId="1" name="PivotTable14"/>
    <pivotTable tabId="1" name="PivotTable15"/>
    <pivotTable tabId="1" name="PivotTable16"/>
    <pivotTable tabId="1" name="PivotTable17"/>
    <pivotTable tabId="1" name="PivotTable18"/>
  </pivotTables>
  <data>
    <olap pivotCacheId="1938115885">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4FFF520-4913-40AE-B8DF-0B96FF3D6561}" sourceName="[Calendar_Table].[Date (Year)]">
  <pivotTables>
    <pivotTable tabId="1" name="PivotTable18"/>
    <pivotTable tabId="1" name="PivotTable1"/>
    <pivotTable tabId="1" name="PivotTable10"/>
    <pivotTable tabId="1" name="PivotTable12"/>
    <pivotTable tabId="1" name="PivotTable14"/>
    <pivotTable tabId="1" name="PivotTable15"/>
    <pivotTable tabId="1" name="PivotTable16"/>
    <pivotTable tabId="1" name="PivotTable17"/>
    <pivotTable tabId="1" name="PivotTable2"/>
    <pivotTable tabId="1" name="PivotTable3"/>
    <pivotTable tabId="1" name="PivotTable7"/>
    <pivotTable tabId="1" name="PivotTable9"/>
  </pivotTables>
  <data>
    <olap pivotCacheId="122042339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A99036E-5BE5-44E2-99B3-AABBD6206C09}" cache="Slicer_Date__Month" caption="Date (Month)" level="1" rowHeight="241300"/>
  <slicer name="Date (Year)" xr10:uid="{CD77E382-96F3-427B-95E1-E18B188D05F0}"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3CC4568-8771-47D6-AA0D-F6A57BFD830C}" cache="Slicer_Date__Month" caption="Date (Month)" showCaption="0" level="1" style="style2" rowHeight="241300"/>
  <slicer name="Date (Year) 1" xr10:uid="{FAD8C95F-2344-43F3-AE05-A276AAAC0841}" cache="Slicer_Date__Year" caption="Date (Year)" columnCount="2" showCaption="0" level="1" style="style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5FFB-D515-4E6F-A7AF-EC6233E292E8}">
  <dimension ref="B6:N119"/>
  <sheetViews>
    <sheetView topLeftCell="A70" zoomScaleNormal="100" workbookViewId="0">
      <selection activeCell="E86" sqref="E86"/>
    </sheetView>
  </sheetViews>
  <sheetFormatPr defaultRowHeight="14.5" x14ac:dyDescent="0.35"/>
  <cols>
    <col min="2" max="2" width="18.08984375" customWidth="1"/>
    <col min="3" max="3" width="16" customWidth="1"/>
    <col min="4" max="4" width="13.08984375" customWidth="1"/>
    <col min="5" max="5" width="15.453125" customWidth="1"/>
    <col min="6" max="6" width="27" bestFit="1" customWidth="1"/>
    <col min="8" max="8" width="12.36328125" bestFit="1" customWidth="1"/>
    <col min="9" max="9" width="24.81640625" bestFit="1" customWidth="1"/>
    <col min="13" max="13" width="12.36328125" bestFit="1" customWidth="1"/>
    <col min="14" max="14" width="24.81640625" bestFit="1" customWidth="1"/>
  </cols>
  <sheetData>
    <row r="6" spans="2:14" x14ac:dyDescent="0.35">
      <c r="B6" t="s">
        <v>2</v>
      </c>
      <c r="D6" t="s">
        <v>39</v>
      </c>
      <c r="H6" t="s">
        <v>40</v>
      </c>
      <c r="M6" t="s">
        <v>41</v>
      </c>
    </row>
    <row r="7" spans="2:14" x14ac:dyDescent="0.35">
      <c r="B7" s="3">
        <v>506</v>
      </c>
      <c r="D7" s="1" t="s">
        <v>0</v>
      </c>
      <c r="E7" t="s">
        <v>5</v>
      </c>
      <c r="H7" s="1" t="s">
        <v>0</v>
      </c>
      <c r="I7" t="s">
        <v>3</v>
      </c>
      <c r="M7" s="1" t="s">
        <v>0</v>
      </c>
      <c r="N7" t="s">
        <v>42</v>
      </c>
    </row>
    <row r="8" spans="2:14" x14ac:dyDescent="0.35">
      <c r="D8" s="2" t="s">
        <v>18</v>
      </c>
      <c r="E8" s="3">
        <v>14</v>
      </c>
      <c r="H8" s="2" t="s">
        <v>18</v>
      </c>
      <c r="I8" s="4">
        <v>31.428571428571427</v>
      </c>
      <c r="M8" s="2" t="s">
        <v>18</v>
      </c>
      <c r="N8" s="4">
        <v>5</v>
      </c>
    </row>
    <row r="9" spans="2:14" x14ac:dyDescent="0.35">
      <c r="B9" t="s">
        <v>3</v>
      </c>
      <c r="D9" s="2" t="s">
        <v>19</v>
      </c>
      <c r="E9" s="3">
        <v>17</v>
      </c>
      <c r="H9" s="2" t="s">
        <v>19</v>
      </c>
      <c r="I9" s="4">
        <v>45.470588235294116</v>
      </c>
      <c r="M9" s="2" t="s">
        <v>19</v>
      </c>
      <c r="N9" s="4">
        <v>6.166666666666667</v>
      </c>
    </row>
    <row r="10" spans="2:14" x14ac:dyDescent="0.35">
      <c r="B10" s="4">
        <v>35.581027667984188</v>
      </c>
      <c r="D10" s="2" t="s">
        <v>20</v>
      </c>
      <c r="E10" s="3">
        <v>20</v>
      </c>
      <c r="H10" s="2" t="s">
        <v>20</v>
      </c>
      <c r="I10" s="4">
        <v>32.549999999999997</v>
      </c>
      <c r="M10" s="2" t="s">
        <v>20</v>
      </c>
      <c r="N10" s="4">
        <v>3</v>
      </c>
    </row>
    <row r="11" spans="2:14" x14ac:dyDescent="0.35">
      <c r="D11" s="2" t="s">
        <v>21</v>
      </c>
      <c r="E11" s="3">
        <v>13</v>
      </c>
      <c r="H11" s="2" t="s">
        <v>21</v>
      </c>
      <c r="I11" s="4">
        <v>39.615384615384613</v>
      </c>
      <c r="M11" s="2" t="s">
        <v>21</v>
      </c>
      <c r="N11" s="4">
        <v>4.5</v>
      </c>
    </row>
    <row r="12" spans="2:14" x14ac:dyDescent="0.35">
      <c r="B12" s="4"/>
      <c r="D12" s="2" t="s">
        <v>22</v>
      </c>
      <c r="E12" s="3">
        <v>14</v>
      </c>
      <c r="H12" s="2" t="s">
        <v>22</v>
      </c>
      <c r="I12" s="4">
        <v>36</v>
      </c>
      <c r="M12" s="2" t="s">
        <v>22</v>
      </c>
      <c r="N12" s="4">
        <v>4.666666666666667</v>
      </c>
    </row>
    <row r="13" spans="2:14" x14ac:dyDescent="0.35">
      <c r="D13" s="2" t="s">
        <v>23</v>
      </c>
      <c r="E13" s="3">
        <v>15</v>
      </c>
      <c r="H13" s="2" t="s">
        <v>23</v>
      </c>
      <c r="I13" s="4">
        <v>31.6</v>
      </c>
      <c r="M13" s="2" t="s">
        <v>23</v>
      </c>
      <c r="N13" s="4">
        <v>9</v>
      </c>
    </row>
    <row r="14" spans="2:14" x14ac:dyDescent="0.35">
      <c r="B14" t="s">
        <v>4</v>
      </c>
      <c r="D14" s="2" t="s">
        <v>24</v>
      </c>
      <c r="E14" s="3">
        <v>13</v>
      </c>
      <c r="H14" s="2" t="s">
        <v>24</v>
      </c>
      <c r="I14" s="4">
        <v>33.846153846153847</v>
      </c>
      <c r="M14" s="2" t="s">
        <v>24</v>
      </c>
      <c r="N14" s="4">
        <v>1.5</v>
      </c>
    </row>
    <row r="15" spans="2:14" x14ac:dyDescent="0.35">
      <c r="B15" s="4">
        <v>5.1818181818181817</v>
      </c>
      <c r="D15" s="2" t="s">
        <v>25</v>
      </c>
      <c r="E15" s="3">
        <v>15</v>
      </c>
      <c r="H15" s="2" t="s">
        <v>25</v>
      </c>
      <c r="I15" s="4">
        <v>31.8</v>
      </c>
      <c r="M15" s="2" t="s">
        <v>25</v>
      </c>
      <c r="N15" s="4">
        <v>6.8</v>
      </c>
    </row>
    <row r="16" spans="2:14" x14ac:dyDescent="0.35">
      <c r="D16" s="2" t="s">
        <v>26</v>
      </c>
      <c r="E16" s="3">
        <v>17</v>
      </c>
      <c r="H16" s="2" t="s">
        <v>26</v>
      </c>
      <c r="I16" s="4">
        <v>36</v>
      </c>
      <c r="M16" s="2" t="s">
        <v>26</v>
      </c>
      <c r="N16" s="4">
        <v>4.625</v>
      </c>
    </row>
    <row r="17" spans="4:14" x14ac:dyDescent="0.35">
      <c r="D17" s="2" t="s">
        <v>27</v>
      </c>
      <c r="E17" s="3">
        <v>10</v>
      </c>
      <c r="H17" s="2" t="s">
        <v>27</v>
      </c>
      <c r="I17" s="4">
        <v>29.8</v>
      </c>
      <c r="M17" s="2" t="s">
        <v>27</v>
      </c>
      <c r="N17" s="4">
        <v>4.333333333333333</v>
      </c>
    </row>
    <row r="18" spans="4:14" x14ac:dyDescent="0.35">
      <c r="D18" s="2" t="s">
        <v>9</v>
      </c>
      <c r="E18" s="3">
        <v>26</v>
      </c>
      <c r="H18" s="2" t="s">
        <v>9</v>
      </c>
      <c r="I18" s="4">
        <v>34.884615384615387</v>
      </c>
      <c r="M18" s="2" t="s">
        <v>9</v>
      </c>
      <c r="N18" s="4">
        <v>4.8</v>
      </c>
    </row>
    <row r="19" spans="4:14" x14ac:dyDescent="0.35">
      <c r="D19" s="2" t="s">
        <v>28</v>
      </c>
      <c r="E19" s="3">
        <v>13</v>
      </c>
      <c r="H19" s="2" t="s">
        <v>28</v>
      </c>
      <c r="I19" s="4">
        <v>41.307692307692307</v>
      </c>
      <c r="M19" s="2" t="s">
        <v>28</v>
      </c>
      <c r="N19" s="4">
        <v>1.3333333333333333</v>
      </c>
    </row>
    <row r="20" spans="4:14" x14ac:dyDescent="0.35">
      <c r="D20" s="2" t="s">
        <v>29</v>
      </c>
      <c r="E20" s="3">
        <v>17</v>
      </c>
      <c r="H20" s="2" t="s">
        <v>29</v>
      </c>
      <c r="I20" s="4">
        <v>29.764705882352942</v>
      </c>
      <c r="M20" s="2" t="s">
        <v>29</v>
      </c>
      <c r="N20" s="4">
        <v>5</v>
      </c>
    </row>
    <row r="21" spans="4:14" x14ac:dyDescent="0.35">
      <c r="D21" s="2" t="s">
        <v>30</v>
      </c>
      <c r="E21" s="3">
        <v>26</v>
      </c>
      <c r="H21" s="2" t="s">
        <v>30</v>
      </c>
      <c r="I21" s="4">
        <v>37.92307692307692</v>
      </c>
      <c r="M21" s="2" t="s">
        <v>30</v>
      </c>
      <c r="N21" s="4">
        <v>3.1666666666666665</v>
      </c>
    </row>
    <row r="22" spans="4:14" x14ac:dyDescent="0.35">
      <c r="D22" s="2" t="s">
        <v>31</v>
      </c>
      <c r="E22" s="3">
        <v>8</v>
      </c>
      <c r="H22" s="2" t="s">
        <v>31</v>
      </c>
      <c r="I22" s="4">
        <v>38.625</v>
      </c>
      <c r="M22" s="2" t="s">
        <v>31</v>
      </c>
      <c r="N22" s="4">
        <v>7.5</v>
      </c>
    </row>
    <row r="23" spans="4:14" x14ac:dyDescent="0.35">
      <c r="D23" s="2" t="s">
        <v>32</v>
      </c>
      <c r="E23" s="3">
        <v>17</v>
      </c>
      <c r="H23" s="2" t="s">
        <v>32</v>
      </c>
      <c r="I23" s="4">
        <v>41.470588235294116</v>
      </c>
      <c r="M23" s="2" t="s">
        <v>32</v>
      </c>
      <c r="N23" s="4">
        <v>4.2</v>
      </c>
    </row>
    <row r="24" spans="4:14" x14ac:dyDescent="0.35">
      <c r="D24" s="2" t="s">
        <v>33</v>
      </c>
      <c r="E24" s="3">
        <v>18</v>
      </c>
      <c r="H24" s="2" t="s">
        <v>33</v>
      </c>
      <c r="I24" s="4">
        <v>39.5</v>
      </c>
      <c r="M24" s="2" t="s">
        <v>33</v>
      </c>
      <c r="N24" s="4">
        <v>4.625</v>
      </c>
    </row>
    <row r="25" spans="4:14" x14ac:dyDescent="0.35">
      <c r="D25" s="2" t="s">
        <v>34</v>
      </c>
      <c r="E25" s="3">
        <v>19</v>
      </c>
      <c r="H25" s="2" t="s">
        <v>34</v>
      </c>
      <c r="I25" s="4">
        <v>29.736842105263158</v>
      </c>
      <c r="M25" s="2" t="s">
        <v>34</v>
      </c>
      <c r="N25" s="4">
        <v>9.6666666666666661</v>
      </c>
    </row>
    <row r="26" spans="4:14" x14ac:dyDescent="0.35">
      <c r="D26" s="2" t="s">
        <v>35</v>
      </c>
      <c r="E26" s="3">
        <v>20</v>
      </c>
      <c r="H26" s="2" t="s">
        <v>35</v>
      </c>
      <c r="I26" s="4">
        <v>37.75</v>
      </c>
      <c r="M26" s="2" t="s">
        <v>35</v>
      </c>
      <c r="N26" s="4">
        <v>6.125</v>
      </c>
    </row>
    <row r="27" spans="4:14" x14ac:dyDescent="0.35">
      <c r="D27" s="2" t="s">
        <v>36</v>
      </c>
      <c r="E27" s="3">
        <v>23</v>
      </c>
      <c r="H27" s="2" t="s">
        <v>36</v>
      </c>
      <c r="I27" s="4">
        <v>37.782608695652172</v>
      </c>
      <c r="M27" s="2" t="s">
        <v>36</v>
      </c>
      <c r="N27" s="4">
        <v>5.5555555555555554</v>
      </c>
    </row>
    <row r="28" spans="4:14" x14ac:dyDescent="0.35">
      <c r="D28" s="2" t="s">
        <v>37</v>
      </c>
      <c r="E28" s="3">
        <v>16</v>
      </c>
      <c r="H28" s="2" t="s">
        <v>37</v>
      </c>
      <c r="I28" s="4">
        <v>34.1875</v>
      </c>
      <c r="M28" s="2" t="s">
        <v>37</v>
      </c>
      <c r="N28" s="4">
        <v>6.333333333333333</v>
      </c>
    </row>
    <row r="29" spans="4:14" x14ac:dyDescent="0.35">
      <c r="D29" s="2" t="s">
        <v>10</v>
      </c>
      <c r="E29" s="3">
        <v>17</v>
      </c>
      <c r="H29" s="2" t="s">
        <v>10</v>
      </c>
      <c r="I29" s="4">
        <v>34.941176470588232</v>
      </c>
      <c r="M29" s="2" t="s">
        <v>10</v>
      </c>
      <c r="N29" s="4">
        <v>5.333333333333333</v>
      </c>
    </row>
    <row r="30" spans="4:14" x14ac:dyDescent="0.35">
      <c r="D30" s="2" t="s">
        <v>38</v>
      </c>
      <c r="E30" s="3">
        <v>12</v>
      </c>
      <c r="H30" s="2" t="s">
        <v>38</v>
      </c>
      <c r="I30" s="4">
        <v>36.166666666666664</v>
      </c>
      <c r="M30" s="2" t="s">
        <v>38</v>
      </c>
      <c r="N30" s="4">
        <v>5.333333333333333</v>
      </c>
    </row>
    <row r="31" spans="4:14" x14ac:dyDescent="0.35">
      <c r="D31" s="2" t="s">
        <v>11</v>
      </c>
      <c r="E31" s="3">
        <v>19</v>
      </c>
      <c r="H31" s="2" t="s">
        <v>11</v>
      </c>
      <c r="I31" s="4">
        <v>32.736842105263158</v>
      </c>
      <c r="M31" s="2" t="s">
        <v>11</v>
      </c>
      <c r="N31" s="4">
        <v>6.666666666666667</v>
      </c>
    </row>
    <row r="32" spans="4:14" x14ac:dyDescent="0.35">
      <c r="D32" s="2" t="s">
        <v>12</v>
      </c>
      <c r="E32" s="3">
        <v>17</v>
      </c>
      <c r="H32" s="2" t="s">
        <v>12</v>
      </c>
      <c r="I32" s="4">
        <v>34.411764705882355</v>
      </c>
      <c r="M32" s="2" t="s">
        <v>12</v>
      </c>
      <c r="N32" s="4">
        <v>4.5555555555555554</v>
      </c>
    </row>
    <row r="33" spans="2:14" x14ac:dyDescent="0.35">
      <c r="D33" s="2" t="s">
        <v>13</v>
      </c>
      <c r="E33" s="3">
        <v>18</v>
      </c>
      <c r="H33" s="2" t="s">
        <v>13</v>
      </c>
      <c r="I33" s="4">
        <v>34.388888888888886</v>
      </c>
      <c r="M33" s="2" t="s">
        <v>13</v>
      </c>
      <c r="N33" s="4">
        <v>4.333333333333333</v>
      </c>
    </row>
    <row r="34" spans="2:14" x14ac:dyDescent="0.35">
      <c r="D34" s="2" t="s">
        <v>14</v>
      </c>
      <c r="E34" s="3">
        <v>17</v>
      </c>
      <c r="H34" s="2" t="s">
        <v>14</v>
      </c>
      <c r="I34" s="4">
        <v>33.294117647058826</v>
      </c>
      <c r="M34" s="2" t="s">
        <v>14</v>
      </c>
      <c r="N34" s="4">
        <v>7.333333333333333</v>
      </c>
    </row>
    <row r="35" spans="2:14" x14ac:dyDescent="0.35">
      <c r="D35" s="2" t="s">
        <v>15</v>
      </c>
      <c r="E35" s="3">
        <v>17</v>
      </c>
      <c r="H35" s="2" t="s">
        <v>15</v>
      </c>
      <c r="I35" s="4">
        <v>35</v>
      </c>
      <c r="M35" s="2" t="s">
        <v>15</v>
      </c>
      <c r="N35" s="4">
        <v>5.25</v>
      </c>
    </row>
    <row r="36" spans="2:14" x14ac:dyDescent="0.35">
      <c r="D36" s="2" t="s">
        <v>16</v>
      </c>
      <c r="E36" s="3">
        <v>19</v>
      </c>
      <c r="H36" s="2" t="s">
        <v>16</v>
      </c>
      <c r="I36" s="4">
        <v>36.736842105263158</v>
      </c>
      <c r="M36" s="2" t="s">
        <v>16</v>
      </c>
      <c r="N36" s="4">
        <v>6.333333333333333</v>
      </c>
    </row>
    <row r="37" spans="2:14" x14ac:dyDescent="0.35">
      <c r="D37" s="2" t="s">
        <v>17</v>
      </c>
      <c r="E37" s="3">
        <v>19</v>
      </c>
      <c r="H37" s="2" t="s">
        <v>17</v>
      </c>
      <c r="I37" s="4">
        <v>37.368421052631582</v>
      </c>
      <c r="M37" s="2" t="s">
        <v>17</v>
      </c>
      <c r="N37" s="4">
        <v>5.7142857142857144</v>
      </c>
    </row>
    <row r="38" spans="2:14" x14ac:dyDescent="0.35">
      <c r="D38" s="2" t="s">
        <v>1</v>
      </c>
      <c r="E38" s="3">
        <v>506</v>
      </c>
      <c r="H38" s="2" t="s">
        <v>1</v>
      </c>
      <c r="I38" s="4">
        <v>35.581027667984188</v>
      </c>
      <c r="M38" s="2" t="s">
        <v>1</v>
      </c>
      <c r="N38" s="4">
        <v>5.1818181818181817</v>
      </c>
    </row>
    <row r="45" spans="2:14" x14ac:dyDescent="0.35">
      <c r="B45" s="1" t="s">
        <v>0</v>
      </c>
      <c r="C45" t="s">
        <v>45</v>
      </c>
      <c r="D45" s="9" t="s">
        <v>46</v>
      </c>
    </row>
    <row r="46" spans="2:14" x14ac:dyDescent="0.35">
      <c r="B46" s="2" t="s">
        <v>43</v>
      </c>
      <c r="C46" s="8">
        <v>252</v>
      </c>
      <c r="D46" s="9">
        <v>0.49802371541501977</v>
      </c>
    </row>
    <row r="47" spans="2:14" x14ac:dyDescent="0.35">
      <c r="B47" s="2" t="s">
        <v>44</v>
      </c>
      <c r="C47" s="8">
        <v>254</v>
      </c>
      <c r="D47" s="9">
        <v>0.50197628458498023</v>
      </c>
    </row>
    <row r="48" spans="2:14" x14ac:dyDescent="0.35">
      <c r="B48" s="2" t="s">
        <v>1</v>
      </c>
      <c r="C48" s="8">
        <v>506</v>
      </c>
      <c r="D48" s="9">
        <v>1</v>
      </c>
    </row>
    <row r="54" spans="2:6" ht="13.25" customHeight="1" x14ac:dyDescent="0.35">
      <c r="B54" s="12" t="s">
        <v>67</v>
      </c>
      <c r="C54" s="12" t="s">
        <v>68</v>
      </c>
      <c r="D54" s="12" t="s">
        <v>69</v>
      </c>
      <c r="E54" s="12" t="s">
        <v>70</v>
      </c>
    </row>
    <row r="55" spans="2:6" ht="13.25" customHeight="1" x14ac:dyDescent="0.35">
      <c r="B55" s="10" t="str">
        <f>B47</f>
        <v>Not Admitted</v>
      </c>
      <c r="C55" s="10">
        <f>C47</f>
        <v>254</v>
      </c>
      <c r="D55" s="11">
        <f>D47</f>
        <v>0.50197628458498023</v>
      </c>
      <c r="E55" s="10"/>
    </row>
    <row r="56" spans="2:6" ht="13.25" customHeight="1" x14ac:dyDescent="0.35">
      <c r="B56" s="10" t="str">
        <f>B46</f>
        <v>Admitted</v>
      </c>
      <c r="C56" s="10">
        <f>C46</f>
        <v>252</v>
      </c>
      <c r="D56" s="11">
        <f>D46</f>
        <v>0.49802371541501977</v>
      </c>
      <c r="E56" s="10"/>
    </row>
    <row r="61" spans="2:6" x14ac:dyDescent="0.35">
      <c r="B61" s="1" t="s">
        <v>0</v>
      </c>
      <c r="C61" t="s">
        <v>71</v>
      </c>
      <c r="E61" s="1" t="s">
        <v>0</v>
      </c>
      <c r="F61" t="s">
        <v>72</v>
      </c>
    </row>
    <row r="62" spans="2:6" x14ac:dyDescent="0.35">
      <c r="B62" s="2" t="s">
        <v>56</v>
      </c>
      <c r="C62" s="8">
        <v>46</v>
      </c>
      <c r="E62" s="2" t="s">
        <v>52</v>
      </c>
      <c r="F62" s="8">
        <v>311</v>
      </c>
    </row>
    <row r="63" spans="2:6" x14ac:dyDescent="0.35">
      <c r="B63" s="2" t="s">
        <v>51</v>
      </c>
      <c r="C63" s="8">
        <v>72</v>
      </c>
      <c r="E63" s="2" t="s">
        <v>50</v>
      </c>
      <c r="F63" s="8">
        <v>195</v>
      </c>
    </row>
    <row r="64" spans="2:6" x14ac:dyDescent="0.35">
      <c r="B64" s="2" t="s">
        <v>49</v>
      </c>
      <c r="C64" s="8">
        <v>78</v>
      </c>
      <c r="E64" s="2" t="s">
        <v>1</v>
      </c>
      <c r="F64" s="8">
        <v>506</v>
      </c>
    </row>
    <row r="65" spans="2:7" x14ac:dyDescent="0.35">
      <c r="B65" s="2" t="s">
        <v>54</v>
      </c>
      <c r="C65" s="8">
        <v>63</v>
      </c>
    </row>
    <row r="66" spans="2:7" x14ac:dyDescent="0.35">
      <c r="B66" s="2" t="s">
        <v>53</v>
      </c>
      <c r="C66" s="8">
        <v>65</v>
      </c>
    </row>
    <row r="67" spans="2:7" x14ac:dyDescent="0.35">
      <c r="B67" s="2" t="s">
        <v>57</v>
      </c>
      <c r="C67" s="8">
        <v>46</v>
      </c>
    </row>
    <row r="68" spans="2:7" x14ac:dyDescent="0.35">
      <c r="B68" s="2" t="s">
        <v>55</v>
      </c>
      <c r="C68" s="8">
        <v>72</v>
      </c>
      <c r="F68" s="1" t="s">
        <v>0</v>
      </c>
      <c r="G68" t="s">
        <v>73</v>
      </c>
    </row>
    <row r="69" spans="2:7" x14ac:dyDescent="0.35">
      <c r="B69" s="2" t="s">
        <v>58</v>
      </c>
      <c r="C69" s="8">
        <v>64</v>
      </c>
      <c r="F69" s="2" t="s">
        <v>59</v>
      </c>
      <c r="G69" s="8">
        <v>233</v>
      </c>
    </row>
    <row r="70" spans="2:7" x14ac:dyDescent="0.35">
      <c r="B70" s="2" t="s">
        <v>1</v>
      </c>
      <c r="C70" s="8">
        <v>506</v>
      </c>
      <c r="F70" s="2" t="s">
        <v>47</v>
      </c>
      <c r="G70" s="8">
        <v>273</v>
      </c>
    </row>
    <row r="71" spans="2:7" x14ac:dyDescent="0.35">
      <c r="F71" s="2" t="s">
        <v>1</v>
      </c>
      <c r="G71" s="8">
        <v>506</v>
      </c>
    </row>
    <row r="77" spans="2:7" x14ac:dyDescent="0.35">
      <c r="B77" s="1" t="s">
        <v>0</v>
      </c>
      <c r="C77" t="s">
        <v>74</v>
      </c>
    </row>
    <row r="78" spans="2:7" x14ac:dyDescent="0.35">
      <c r="B78" s="2" t="s">
        <v>65</v>
      </c>
      <c r="C78" s="8">
        <v>2</v>
      </c>
    </row>
    <row r="79" spans="2:7" x14ac:dyDescent="0.35">
      <c r="B79" s="2" t="s">
        <v>66</v>
      </c>
      <c r="C79" s="8">
        <v>11</v>
      </c>
    </row>
    <row r="80" spans="2:7" x14ac:dyDescent="0.35">
      <c r="B80" s="2" t="s">
        <v>63</v>
      </c>
      <c r="C80" s="8">
        <v>12</v>
      </c>
    </row>
    <row r="81" spans="2:5" x14ac:dyDescent="0.35">
      <c r="B81" s="2" t="s">
        <v>64</v>
      </c>
      <c r="C81" s="8">
        <v>15</v>
      </c>
    </row>
    <row r="82" spans="2:5" x14ac:dyDescent="0.35">
      <c r="B82" s="2" t="s">
        <v>62</v>
      </c>
      <c r="C82" s="8">
        <v>18</v>
      </c>
    </row>
    <row r="83" spans="2:5" x14ac:dyDescent="0.35">
      <c r="B83" s="2" t="s">
        <v>61</v>
      </c>
      <c r="C83" s="8">
        <v>60</v>
      </c>
    </row>
    <row r="84" spans="2:5" x14ac:dyDescent="0.35">
      <c r="B84" s="2" t="s">
        <v>60</v>
      </c>
      <c r="C84" s="8">
        <v>83</v>
      </c>
    </row>
    <row r="85" spans="2:5" x14ac:dyDescent="0.35">
      <c r="B85" s="2" t="s">
        <v>48</v>
      </c>
      <c r="C85" s="8">
        <v>305</v>
      </c>
      <c r="E85" s="1" t="s">
        <v>0</v>
      </c>
    </row>
    <row r="86" spans="2:5" x14ac:dyDescent="0.35">
      <c r="B86" s="2" t="s">
        <v>1</v>
      </c>
      <c r="C86" s="8">
        <v>506</v>
      </c>
      <c r="E86" s="2" t="s">
        <v>6</v>
      </c>
    </row>
    <row r="87" spans="2:5" x14ac:dyDescent="0.35">
      <c r="E87" s="6" t="s">
        <v>7</v>
      </c>
    </row>
    <row r="88" spans="2:5" x14ac:dyDescent="0.35">
      <c r="E88" s="7" t="s">
        <v>8</v>
      </c>
    </row>
    <row r="89" spans="2:5" x14ac:dyDescent="0.35">
      <c r="E89" s="13" t="s">
        <v>9</v>
      </c>
    </row>
    <row r="90" spans="2:5" x14ac:dyDescent="0.35">
      <c r="E90" s="13" t="s">
        <v>10</v>
      </c>
    </row>
    <row r="91" spans="2:5" x14ac:dyDescent="0.35">
      <c r="E91" s="13" t="s">
        <v>11</v>
      </c>
    </row>
    <row r="92" spans="2:5" x14ac:dyDescent="0.35">
      <c r="E92" s="13" t="s">
        <v>12</v>
      </c>
    </row>
    <row r="93" spans="2:5" x14ac:dyDescent="0.35">
      <c r="E93" s="13" t="s">
        <v>13</v>
      </c>
    </row>
    <row r="94" spans="2:5" x14ac:dyDescent="0.35">
      <c r="E94" s="13" t="s">
        <v>14</v>
      </c>
    </row>
    <row r="95" spans="2:5" x14ac:dyDescent="0.35">
      <c r="E95" s="13" t="s">
        <v>15</v>
      </c>
    </row>
    <row r="96" spans="2:5" x14ac:dyDescent="0.35">
      <c r="E96" s="13" t="s">
        <v>16</v>
      </c>
    </row>
    <row r="97" spans="5:5" x14ac:dyDescent="0.35">
      <c r="E97" s="13" t="s">
        <v>17</v>
      </c>
    </row>
    <row r="98" spans="5:5" x14ac:dyDescent="0.35">
      <c r="E98" s="13" t="s">
        <v>18</v>
      </c>
    </row>
    <row r="99" spans="5:5" x14ac:dyDescent="0.35">
      <c r="E99" s="13" t="s">
        <v>19</v>
      </c>
    </row>
    <row r="100" spans="5:5" x14ac:dyDescent="0.35">
      <c r="E100" s="13" t="s">
        <v>20</v>
      </c>
    </row>
    <row r="101" spans="5:5" x14ac:dyDescent="0.35">
      <c r="E101" s="13" t="s">
        <v>21</v>
      </c>
    </row>
    <row r="102" spans="5:5" x14ac:dyDescent="0.35">
      <c r="E102" s="13" t="s">
        <v>22</v>
      </c>
    </row>
    <row r="103" spans="5:5" x14ac:dyDescent="0.35">
      <c r="E103" s="13" t="s">
        <v>23</v>
      </c>
    </row>
    <row r="104" spans="5:5" x14ac:dyDescent="0.35">
      <c r="E104" s="13" t="s">
        <v>24</v>
      </c>
    </row>
    <row r="105" spans="5:5" x14ac:dyDescent="0.35">
      <c r="E105" s="13" t="s">
        <v>25</v>
      </c>
    </row>
    <row r="106" spans="5:5" x14ac:dyDescent="0.35">
      <c r="E106" s="13" t="s">
        <v>26</v>
      </c>
    </row>
    <row r="107" spans="5:5" x14ac:dyDescent="0.35">
      <c r="E107" s="13" t="s">
        <v>27</v>
      </c>
    </row>
    <row r="108" spans="5:5" x14ac:dyDescent="0.35">
      <c r="E108" s="13" t="s">
        <v>28</v>
      </c>
    </row>
    <row r="109" spans="5:5" x14ac:dyDescent="0.35">
      <c r="E109" s="13" t="s">
        <v>29</v>
      </c>
    </row>
    <row r="110" spans="5:5" x14ac:dyDescent="0.35">
      <c r="E110" s="13" t="s">
        <v>30</v>
      </c>
    </row>
    <row r="111" spans="5:5" x14ac:dyDescent="0.35">
      <c r="E111" s="13" t="s">
        <v>31</v>
      </c>
    </row>
    <row r="112" spans="5:5" x14ac:dyDescent="0.35">
      <c r="E112" s="13" t="s">
        <v>32</v>
      </c>
    </row>
    <row r="113" spans="5:5" x14ac:dyDescent="0.35">
      <c r="E113" s="13" t="s">
        <v>33</v>
      </c>
    </row>
    <row r="114" spans="5:5" x14ac:dyDescent="0.35">
      <c r="E114" s="13" t="s">
        <v>34</v>
      </c>
    </row>
    <row r="115" spans="5:5" x14ac:dyDescent="0.35">
      <c r="E115" s="13" t="s">
        <v>35</v>
      </c>
    </row>
    <row r="116" spans="5:5" x14ac:dyDescent="0.35">
      <c r="E116" s="13" t="s">
        <v>36</v>
      </c>
    </row>
    <row r="117" spans="5:5" x14ac:dyDescent="0.35">
      <c r="E117" s="13" t="s">
        <v>37</v>
      </c>
    </row>
    <row r="118" spans="5:5" x14ac:dyDescent="0.35">
      <c r="E118" s="13" t="s">
        <v>38</v>
      </c>
    </row>
    <row r="119" spans="5:5" x14ac:dyDescent="0.35">
      <c r="E119" s="2" t="s">
        <v>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B216-50F1-47B6-9396-6EAFC7DA50A9}">
  <dimension ref="C2"/>
  <sheetViews>
    <sheetView tabSelected="1" view="pageBreakPreview" zoomScaleNormal="140" zoomScaleSheetLayoutView="100" workbookViewId="0">
      <selection activeCell="A16" sqref="A16"/>
    </sheetView>
  </sheetViews>
  <sheetFormatPr defaultRowHeight="14.5" x14ac:dyDescent="0.35"/>
  <cols>
    <col min="1" max="16384" width="8.7265625" style="5"/>
  </cols>
  <sheetData>
    <row r="2" spans="3:3" x14ac:dyDescent="0.35">
      <c r="C2" s="1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44523-7EE3-4648-833E-3306CCEE47DE}">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3ED9-185F-4D8D-BE14-F7DCE5911E2B}">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59E1-25D1-4808-AC5B-323D92EB7EC9}">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1A0B638-0836-4121-A11F-390A817A17A1}">
  <ds:schemaRefs/>
</ds:datastoreItem>
</file>

<file path=customXml/itemProps2.xml><?xml version="1.0" encoding="utf-8"?>
<ds:datastoreItem xmlns:ds="http://schemas.openxmlformats.org/officeDocument/2006/customXml" ds:itemID="{C7DDCB86-192B-48E1-9275-783590AE0C0F}">
  <ds:schemaRefs/>
</ds:datastoreItem>
</file>

<file path=customXml/itemProps3.xml><?xml version="1.0" encoding="utf-8"?>
<ds:datastoreItem xmlns:ds="http://schemas.openxmlformats.org/officeDocument/2006/customXml" ds:itemID="{6954F56C-A978-406C-BB1B-26A3FAFC5634}">
  <ds:schemaRefs/>
</ds:datastoreItem>
</file>

<file path=customXml/itemProps4.xml><?xml version="1.0" encoding="utf-8"?>
<ds:datastoreItem xmlns:ds="http://schemas.openxmlformats.org/officeDocument/2006/customXml" ds:itemID="{258A9144-D5AF-4C18-9DD4-99B3A499D260}">
  <ds:schemaRefs/>
</ds:datastoreItem>
</file>

<file path=customXml/itemProps5.xml><?xml version="1.0" encoding="utf-8"?>
<ds:datastoreItem xmlns:ds="http://schemas.openxmlformats.org/officeDocument/2006/customXml" ds:itemID="{96FEE08F-8FBB-4819-A761-88FDB577021B}">
  <ds:schemaRefs/>
</ds:datastoreItem>
</file>

<file path=customXml/itemProps6.xml><?xml version="1.0" encoding="utf-8"?>
<ds:datastoreItem xmlns:ds="http://schemas.openxmlformats.org/officeDocument/2006/customXml" ds:itemID="{39CF89B3-42A9-45B9-9E16-E1CE67FBEF85}">
  <ds:schemaRefs/>
</ds:datastoreItem>
</file>

<file path=customXml/itemProps7.xml><?xml version="1.0" encoding="utf-8"?>
<ds:datastoreItem xmlns:ds="http://schemas.openxmlformats.org/officeDocument/2006/customXml" ds:itemID="{509297B4-66B9-4B06-92AB-550D2BB4BCAB}">
  <ds:schemaRefs/>
</ds:datastoreItem>
</file>

<file path=customXml/itemProps8.xml><?xml version="1.0" encoding="utf-8"?>
<ds:datastoreItem xmlns:ds="http://schemas.openxmlformats.org/officeDocument/2006/customXml" ds:itemID="{D5F470E6-BA82-4D32-8763-EB958B03F1DC}">
  <ds:schemaRefs/>
</ds:datastoreItem>
</file>

<file path=customXml/itemProps9.xml><?xml version="1.0" encoding="utf-8"?>
<ds:datastoreItem xmlns:ds="http://schemas.openxmlformats.org/officeDocument/2006/customXml" ds:itemID="{A1853644-A5E4-4AB2-A85B-AF991E31F45A}">
  <ds:schemaRefs/>
</ds:datastoreItem>
</file>

<file path=customXml/itemProps10.xml><?xml version="1.0" encoding="utf-8"?>
<ds:datastoreItem xmlns:ds="http://schemas.openxmlformats.org/officeDocument/2006/customXml" ds:itemID="{FDF0D954-8657-40AA-B37F-1A4AA8ED8DD1}">
  <ds:schemaRefs/>
</ds:datastoreItem>
</file>

<file path=customXml/itemProps11.xml><?xml version="1.0" encoding="utf-8"?>
<ds:datastoreItem xmlns:ds="http://schemas.openxmlformats.org/officeDocument/2006/customXml" ds:itemID="{2CAEFF08-6267-4C35-9EE0-0A405E285598}">
  <ds:schemaRefs/>
</ds:datastoreItem>
</file>

<file path=customXml/itemProps12.xml><?xml version="1.0" encoding="utf-8"?>
<ds:datastoreItem xmlns:ds="http://schemas.openxmlformats.org/officeDocument/2006/customXml" ds:itemID="{04009578-72D0-48F2-B027-550CB9D2B36A}">
  <ds:schemaRefs/>
</ds:datastoreItem>
</file>

<file path=customXml/itemProps13.xml><?xml version="1.0" encoding="utf-8"?>
<ds:datastoreItem xmlns:ds="http://schemas.openxmlformats.org/officeDocument/2006/customXml" ds:itemID="{397FFB19-D6B8-486A-964E-24A0E7ED250C}">
  <ds:schemaRefs>
    <ds:schemaRef ds:uri="http://schemas.microsoft.com/DataMashup"/>
  </ds:schemaRefs>
</ds:datastoreItem>
</file>

<file path=customXml/itemProps14.xml><?xml version="1.0" encoding="utf-8"?>
<ds:datastoreItem xmlns:ds="http://schemas.openxmlformats.org/officeDocument/2006/customXml" ds:itemID="{EE762FE9-5163-485C-B09D-065E66559807}">
  <ds:schemaRefs/>
</ds:datastoreItem>
</file>

<file path=customXml/itemProps15.xml><?xml version="1.0" encoding="utf-8"?>
<ds:datastoreItem xmlns:ds="http://schemas.openxmlformats.org/officeDocument/2006/customXml" ds:itemID="{090C0807-E706-47B1-B216-FA4797388B2E}">
  <ds:schemaRefs/>
</ds:datastoreItem>
</file>

<file path=customXml/itemProps16.xml><?xml version="1.0" encoding="utf-8"?>
<ds:datastoreItem xmlns:ds="http://schemas.openxmlformats.org/officeDocument/2006/customXml" ds:itemID="{CC76A037-B332-4497-B72B-B7B97F8EE8C8}">
  <ds:schemaRefs/>
</ds:datastoreItem>
</file>

<file path=customXml/itemProps17.xml><?xml version="1.0" encoding="utf-8"?>
<ds:datastoreItem xmlns:ds="http://schemas.openxmlformats.org/officeDocument/2006/customXml" ds:itemID="{665CAA3E-2DA2-40B6-8BF9-75A4E8BDFAA3}">
  <ds:schemaRefs/>
</ds:datastoreItem>
</file>

<file path=customXml/itemProps18.xml><?xml version="1.0" encoding="utf-8"?>
<ds:datastoreItem xmlns:ds="http://schemas.openxmlformats.org/officeDocument/2006/customXml" ds:itemID="{1217E3BF-BAC4-4778-AC96-7C34734FD6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Report</vt:lpstr>
      <vt:lpstr>Dashboard</vt:lpstr>
      <vt:lpstr>Patient Satisfaction Score</vt:lpstr>
      <vt:lpstr>count of patient chart</vt:lpstr>
      <vt:lpstr>Average wait time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sukhneek singh</dc:creator>
  <cp:lastModifiedBy>sukhneek singh</cp:lastModifiedBy>
  <dcterms:created xsi:type="dcterms:W3CDTF">2026-07-23T01:12:56Z</dcterms:created>
  <dcterms:modified xsi:type="dcterms:W3CDTF">2026-07-24T03:43:11Z</dcterms:modified>
</cp:coreProperties>
</file>